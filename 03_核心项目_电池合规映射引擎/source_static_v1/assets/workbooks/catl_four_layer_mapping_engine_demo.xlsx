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手动输入" sheetId="1" state="visible" r:id="rId1"/>
    <sheet xmlns:r="http://schemas.openxmlformats.org/officeDocument/2006/relationships" name="02_欧盟电池法输出" sheetId="2" state="visible" r:id="rId2"/>
    <sheet xmlns:r="http://schemas.openxmlformats.org/officeDocument/2006/relationships" name="03_CBAM输出" sheetId="3" state="visible" r:id="rId3"/>
    <sheet xmlns:r="http://schemas.openxmlformats.org/officeDocument/2006/relationships" name="04_字段映射过程" sheetId="4" state="visible" r:id="rId4"/>
    <sheet xmlns:r="http://schemas.openxmlformats.org/officeDocument/2006/relationships" name="05_证据映射过程" sheetId="5" state="visible" r:id="rId5"/>
    <sheet xmlns:r="http://schemas.openxmlformats.org/officeDocument/2006/relationships" name="06_核验映射过程" sheetId="6" state="visible" r:id="rId6"/>
    <sheet xmlns:r="http://schemas.openxmlformats.org/officeDocument/2006/relationships" name="07_权限映射过程" sheetId="7" state="visible" r:id="rId7"/>
    <sheet xmlns:r="http://schemas.openxmlformats.org/officeDocument/2006/relationships" name="08_生命周期计算过程" sheetId="8" state="visible" r:id="rId8"/>
    <sheet xmlns:r="http://schemas.openxmlformats.org/officeDocument/2006/relationships" name="09_EU中间表" sheetId="9" state="visible" r:id="rId9"/>
    <sheet xmlns:r="http://schemas.openxmlformats.org/officeDocument/2006/relationships" name="10_CBAM中间表" sheetId="10" state="visible" r:id="rId10"/>
  </sheets>
  <definedNames>
    <definedName name="_xlnm._FilterDatabase" localSheetId="0" hidden="1">'01_手动输入'!$A$3:$J$70</definedName>
    <definedName name="_xlnm._FilterDatabase" localSheetId="1" hidden="1">'02_欧盟电池法输出'!$A$3:$H$34</definedName>
    <definedName name="_xlnm._FilterDatabase" localSheetId="2" hidden="1">'03_CBAM输出'!$A$3:$H$23</definedName>
    <definedName name="_xlnm._FilterDatabase" localSheetId="3" hidden="1">'04_字段映射过程'!$A$3:$H$16</definedName>
    <definedName name="_xlnm._FilterDatabase" localSheetId="4" hidden="1">'05_证据映射过程'!$A$3:$E$17</definedName>
    <definedName name="_xlnm._FilterDatabase" localSheetId="5" hidden="1">'06_核验映射过程'!$A$3:$D$13</definedName>
    <definedName name="_xlnm._FilterDatabase" localSheetId="6" hidden="1">'07_权限映射过程'!$A$3:$D$13</definedName>
    <definedName name="_xlnm._FilterDatabase" localSheetId="7" hidden="1">'08_生命周期计算过程'!$A$3:$D$33</definedName>
    <definedName name="_xlnm._FilterDatabase" localSheetId="8" hidden="1">'09_EU中间表'!$A$3:$D$34</definedName>
    <definedName name="_xlnm._FilterDatabase" localSheetId="9" hidden="1">'10_CBAM中间表'!$A$3:$D$23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applyProtection="1" pivotButton="0" quotePrefix="0" xfId="0">
      <alignment vertical="top" wrapText="1"/>
      <protection locked="0" hidden="0"/>
    </xf>
    <xf numFmtId="2" fontId="0" fillId="0" borderId="1" applyAlignment="1" pivotButton="0" quotePrefix="0" xfId="0">
      <alignment vertical="top" wrapText="1"/>
    </xf>
    <xf numFmtId="2" fontId="0" fillId="4" borderId="1" applyAlignment="1" applyProtection="1" pivotButton="0" quotePrefix="0" xfId="0">
      <alignment vertical="top" wrapText="1"/>
      <protection locked="0" hidden="0"/>
    </xf>
    <xf numFmtId="164" fontId="0" fillId="0" borderId="1" applyAlignment="1" pivotButton="0" quotePrefix="0" xfId="0">
      <alignment vertical="top" wrapText="1"/>
    </xf>
    <xf numFmtId="164" fontId="0" fillId="4" borderId="1" applyAlignment="1" applyProtection="1" pivotButton="0" quotePrefix="0" xfId="0">
      <alignment vertical="top" wrapText="1"/>
      <protection locked="0" hidden="0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12" customWidth="1" min="5" max="5"/>
    <col width="14" customWidth="1" min="6" max="6"/>
    <col width="14" customWidth="1" min="7" max="7"/>
    <col width="30" customWidth="1" min="8" max="8"/>
    <col width="26" customWidth="1" min="9" max="9"/>
    <col width="14" customWidth="1" min="10" max="10"/>
  </cols>
  <sheetData>
    <row r="1">
      <c r="A1" s="1" t="inlineStr">
        <is>
          <t>CATL 四层映射引擎 Demo - 手动输入总表</t>
        </is>
      </c>
    </row>
    <row r="2">
      <c r="A2" s="2" t="inlineStr">
        <is>
          <t>说明：只有本 Sheet 允许手动修改。黄色列是实际输入值，后面所有 Sheet 都由公式自动拉取与计算。</t>
        </is>
      </c>
    </row>
    <row r="3">
      <c r="A3" s="3" t="inlineStr">
        <is>
          <t>类别</t>
        </is>
      </c>
      <c r="B3" s="3" t="inlineStr">
        <is>
          <t>字段代码</t>
        </is>
      </c>
      <c r="C3" s="3" t="inlineStr">
        <is>
          <t>手动输入项（中文）</t>
        </is>
      </c>
      <c r="D3" s="3" t="inlineStr">
        <is>
          <t>英文对应</t>
        </is>
      </c>
      <c r="E3" s="3" t="inlineStr">
        <is>
          <t>单位</t>
        </is>
      </c>
      <c r="F3" s="3" t="inlineStr">
        <is>
          <t>示例值</t>
        </is>
      </c>
      <c r="G3" s="3" t="inlineStr">
        <is>
          <t>实际输入值</t>
        </is>
      </c>
      <c r="H3" s="3" t="inlineStr">
        <is>
          <t>说明</t>
        </is>
      </c>
      <c r="I3" s="3" t="inlineStr">
        <is>
          <t>常见证据</t>
        </is>
      </c>
      <c r="J3" s="3" t="inlineStr">
        <is>
          <t>主要影响输出</t>
        </is>
      </c>
    </row>
    <row r="4">
      <c r="A4" s="4" t="inlineStr">
        <is>
          <t>A. 基本身份</t>
        </is>
      </c>
      <c r="B4" s="4" t="inlineStr">
        <is>
          <t>manufacturer_name</t>
        </is>
      </c>
      <c r="C4" s="4" t="inlineStr">
        <is>
          <t>制造商名称</t>
        </is>
      </c>
      <c r="D4" s="4" t="inlineStr">
        <is>
          <t>manufacturer name</t>
        </is>
      </c>
      <c r="E4" s="4" t="inlineStr">
        <is>
          <t>文本</t>
        </is>
      </c>
      <c r="F4" s="4" t="inlineStr">
        <is>
          <t>CATL</t>
        </is>
      </c>
      <c r="G4" s="5" t="inlineStr">
        <is>
          <t>CATL</t>
        </is>
      </c>
      <c r="H4" s="4" t="inlineStr">
        <is>
          <t>公司主体识别字段</t>
        </is>
      </c>
      <c r="I4" s="4" t="inlineStr">
        <is>
          <t>营业执照/年报</t>
        </is>
      </c>
      <c r="J4" s="4" t="inlineStr">
        <is>
          <t>EU+CBAM</t>
        </is>
      </c>
    </row>
    <row r="5">
      <c r="A5" s="4" t="inlineStr">
        <is>
          <t>A. 基本身份</t>
        </is>
      </c>
      <c r="B5" s="4" t="inlineStr">
        <is>
          <t>product_name</t>
        </is>
      </c>
      <c r="C5" s="4" t="inlineStr">
        <is>
          <t>演示产品名称</t>
        </is>
      </c>
      <c r="D5" s="4" t="inlineStr">
        <is>
          <t>demo product name</t>
        </is>
      </c>
      <c r="E5" s="4" t="inlineStr">
        <is>
          <t>文本</t>
        </is>
      </c>
      <c r="F5" s="4" t="inlineStr">
        <is>
          <t>神行 PLUS CTP 动力电池包（Demo）</t>
        </is>
      </c>
      <c r="G5" s="5" t="inlineStr">
        <is>
          <t>神行 PLUS CTP 动力电池包（Demo）</t>
        </is>
      </c>
      <c r="H5" s="4" t="inlineStr">
        <is>
          <t>比赛讲述用产品名</t>
        </is>
      </c>
      <c r="I5" s="4" t="inlineStr">
        <is>
          <t>产品主数据</t>
        </is>
      </c>
      <c r="J5" s="4" t="inlineStr">
        <is>
          <t>EU</t>
        </is>
      </c>
    </row>
    <row r="6">
      <c r="A6" s="4" t="inlineStr">
        <is>
          <t>A. 基本身份</t>
        </is>
      </c>
      <c r="B6" s="4" t="inlineStr">
        <is>
          <t>model_code</t>
        </is>
      </c>
      <c r="C6" s="4" t="inlineStr">
        <is>
          <t>电池型号代码</t>
        </is>
      </c>
      <c r="D6" s="4" t="inlineStr">
        <is>
          <t>battery model identifier</t>
        </is>
      </c>
      <c r="E6" s="4" t="inlineStr">
        <is>
          <t>文本</t>
        </is>
      </c>
      <c r="F6" s="4" t="inlineStr">
        <is>
          <t>SXP-CTP-PACK-DEMO-01</t>
        </is>
      </c>
      <c r="G6" s="5" t="inlineStr">
        <is>
          <t>SXP-CTP-PACK-DEMO-01</t>
        </is>
      </c>
      <c r="H6" s="4" t="inlineStr">
        <is>
          <t>四层映射的产品锚点</t>
        </is>
      </c>
      <c r="I6" s="4" t="inlineStr">
        <is>
          <t>型号注册表</t>
        </is>
      </c>
      <c r="J6" s="4" t="inlineStr">
        <is>
          <t>EU+CBAM</t>
        </is>
      </c>
    </row>
    <row r="7">
      <c r="A7" s="4" t="inlineStr">
        <is>
          <t>A. 基本身份</t>
        </is>
      </c>
      <c r="B7" s="4" t="inlineStr">
        <is>
          <t>battery_category</t>
        </is>
      </c>
      <c r="C7" s="4" t="inlineStr">
        <is>
          <t>产品类别</t>
        </is>
      </c>
      <c r="D7" s="4" t="inlineStr">
        <is>
          <t>battery category</t>
        </is>
      </c>
      <c r="E7" s="4" t="inlineStr">
        <is>
          <t>文本</t>
        </is>
      </c>
      <c r="F7" s="4" t="inlineStr">
        <is>
          <t>EV battery</t>
        </is>
      </c>
      <c r="G7" s="5" t="inlineStr">
        <is>
          <t>EV battery</t>
        </is>
      </c>
      <c r="H7" s="4" t="inlineStr">
        <is>
          <t>动力电池场景</t>
        </is>
      </c>
      <c r="I7" s="4" t="inlineStr">
        <is>
          <t>技术规格书</t>
        </is>
      </c>
      <c r="J7" s="4" t="inlineStr">
        <is>
          <t>EU</t>
        </is>
      </c>
    </row>
    <row r="8">
      <c r="A8" s="4" t="inlineStr">
        <is>
          <t>A. 基本身份</t>
        </is>
      </c>
      <c r="B8" s="4" t="inlineStr">
        <is>
          <t>chemistry</t>
        </is>
      </c>
      <c r="C8" s="4" t="inlineStr">
        <is>
          <t>化学体系</t>
        </is>
      </c>
      <c r="D8" s="4" t="inlineStr">
        <is>
          <t>chemistry</t>
        </is>
      </c>
      <c r="E8" s="4" t="inlineStr">
        <is>
          <t>文本</t>
        </is>
      </c>
      <c r="F8" s="4" t="inlineStr">
        <is>
          <t>LFP（磷酸铁锂）</t>
        </is>
      </c>
      <c r="G8" s="5" t="inlineStr">
        <is>
          <t>LFP（磷酸铁锂）</t>
        </is>
      </c>
      <c r="H8" s="4" t="inlineStr">
        <is>
          <t>影响材料追踪范围</t>
        </is>
      </c>
      <c r="I8" s="4" t="inlineStr">
        <is>
          <t>BOM/规格书</t>
        </is>
      </c>
      <c r="J8" s="4" t="inlineStr">
        <is>
          <t>EU+CBAM</t>
        </is>
      </c>
    </row>
    <row r="9">
      <c r="A9" s="4" t="inlineStr">
        <is>
          <t>A. 基本身份</t>
        </is>
      </c>
      <c r="B9" s="4" t="inlineStr">
        <is>
          <t>plant_code</t>
        </is>
      </c>
      <c r="C9" s="4" t="inlineStr">
        <is>
          <t>制造工厂代码</t>
        </is>
      </c>
      <c r="D9" s="4" t="inlineStr">
        <is>
          <t>plant code</t>
        </is>
      </c>
      <c r="E9" s="4" t="inlineStr">
        <is>
          <t>文本</t>
        </is>
      </c>
      <c r="F9" s="4" t="inlineStr">
        <is>
          <t>CN-JS-PLANT-DEMO-01</t>
        </is>
      </c>
      <c r="G9" s="5" t="inlineStr">
        <is>
          <t>CN-JS-PLANT-DEMO-01</t>
        </is>
      </c>
      <c r="H9" s="4" t="inlineStr">
        <is>
          <t>EU 强调 plant 级</t>
        </is>
      </c>
      <c r="I9" s="4" t="inlineStr">
        <is>
          <t>工厂注册表</t>
        </is>
      </c>
      <c r="J9" s="4" t="inlineStr">
        <is>
          <t>EU+CBAM</t>
        </is>
      </c>
    </row>
    <row r="10">
      <c r="A10" s="4" t="inlineStr">
        <is>
          <t>A. 基本身份</t>
        </is>
      </c>
      <c r="B10" s="4" t="inlineStr">
        <is>
          <t>plant_name</t>
        </is>
      </c>
      <c r="C10" s="4" t="inlineStr">
        <is>
          <t>制造工厂名称</t>
        </is>
      </c>
      <c r="D10" s="4" t="inlineStr">
        <is>
          <t>plant name</t>
        </is>
      </c>
      <c r="E10" s="4" t="inlineStr">
        <is>
          <t>文本</t>
        </is>
      </c>
      <c r="F10" s="4" t="inlineStr">
        <is>
          <t>江苏时代（Demo）</t>
        </is>
      </c>
      <c r="G10" s="5" t="inlineStr">
        <is>
          <t>江苏时代（Demo）</t>
        </is>
      </c>
      <c r="H10" s="4" t="inlineStr">
        <is>
          <t>便于人读</t>
        </is>
      </c>
      <c r="I10" s="4" t="inlineStr">
        <is>
          <t>工厂主数据</t>
        </is>
      </c>
      <c r="J10" s="4" t="inlineStr">
        <is>
          <t>EU</t>
        </is>
      </c>
    </row>
    <row r="11">
      <c r="A11" s="4" t="inlineStr">
        <is>
          <t>A. 基本身份</t>
        </is>
      </c>
      <c r="B11" s="4" t="inlineStr">
        <is>
          <t>reporting_period</t>
        </is>
      </c>
      <c r="C11" s="4" t="inlineStr">
        <is>
          <t>产品报告期</t>
        </is>
      </c>
      <c r="D11" s="4" t="inlineStr">
        <is>
          <t>reporting period</t>
        </is>
      </c>
      <c r="E11" s="4" t="inlineStr">
        <is>
          <t>文本</t>
        </is>
      </c>
      <c r="F11" s="4" t="inlineStr">
        <is>
          <t>2025Q4</t>
        </is>
      </c>
      <c r="G11" s="5" t="inlineStr">
        <is>
          <t>2025Q4</t>
        </is>
      </c>
      <c r="H11" s="4" t="inlineStr">
        <is>
          <t>要从年报周期转成产品周期</t>
        </is>
      </c>
      <c r="I11" s="4" t="inlineStr">
        <is>
          <t>排产记录</t>
        </is>
      </c>
      <c r="J11" s="4" t="inlineStr">
        <is>
          <t>EU+CBAM</t>
        </is>
      </c>
    </row>
    <row r="12">
      <c r="A12" s="4" t="inlineStr">
        <is>
          <t>A. 基本身份</t>
        </is>
      </c>
      <c r="B12" s="4" t="inlineStr">
        <is>
          <t>pack_capacity_kwh</t>
        </is>
      </c>
      <c r="C12" s="4" t="inlineStr">
        <is>
          <t>电池包额定容量</t>
        </is>
      </c>
      <c r="D12" s="4" t="inlineStr">
        <is>
          <t>pack capacity</t>
        </is>
      </c>
      <c r="E12" s="4" t="inlineStr">
        <is>
          <t>kWh</t>
        </is>
      </c>
      <c r="F12" s="6" t="n">
        <v>72</v>
      </c>
      <c r="G12" s="7" t="n">
        <v>72</v>
      </c>
      <c r="H12" s="4" t="inlineStr">
        <is>
          <t>用于转换 kgCO2e/kWh</t>
        </is>
      </c>
      <c r="I12" s="4" t="inlineStr">
        <is>
          <t>规格书/测试报告</t>
        </is>
      </c>
      <c r="J12" s="4" t="inlineStr">
        <is>
          <t>EU</t>
        </is>
      </c>
    </row>
    <row r="13">
      <c r="A13" s="4" t="inlineStr">
        <is>
          <t>A. 基本身份</t>
        </is>
      </c>
      <c r="B13" s="4" t="inlineStr">
        <is>
          <t>nominal_voltage_v</t>
        </is>
      </c>
      <c r="C13" s="4" t="inlineStr">
        <is>
          <t>标称电压</t>
        </is>
      </c>
      <c r="D13" s="4" t="inlineStr">
        <is>
          <t>nominal voltage</t>
        </is>
      </c>
      <c r="E13" s="4" t="inlineStr">
        <is>
          <t>V</t>
        </is>
      </c>
      <c r="F13" s="6" t="n">
        <v>800</v>
      </c>
      <c r="G13" s="7" t="n">
        <v>800</v>
      </c>
      <c r="H13" s="4" t="inlineStr">
        <is>
          <t>产品公开参数</t>
        </is>
      </c>
      <c r="I13" s="4" t="inlineStr">
        <is>
          <t>规格书/测试报告</t>
        </is>
      </c>
      <c r="J13" s="4" t="inlineStr">
        <is>
          <t>EU</t>
        </is>
      </c>
    </row>
    <row r="14">
      <c r="A14" s="4" t="inlineStr">
        <is>
          <t>A. 基本身份</t>
        </is>
      </c>
      <c r="B14" s="4" t="inlineStr">
        <is>
          <t>cycle_life_cycles</t>
        </is>
      </c>
      <c r="C14" s="4" t="inlineStr">
        <is>
          <t>循环寿命</t>
        </is>
      </c>
      <c r="D14" s="4" t="inlineStr">
        <is>
          <t>cycle life</t>
        </is>
      </c>
      <c r="E14" s="4" t="inlineStr">
        <is>
          <t>cycles</t>
        </is>
      </c>
      <c r="F14" s="6" t="n">
        <v>4000</v>
      </c>
      <c r="G14" s="7" t="n">
        <v>4000</v>
      </c>
      <c r="H14" s="4" t="inlineStr">
        <is>
          <t>护照参数层</t>
        </is>
      </c>
      <c r="I14" s="4" t="inlineStr">
        <is>
          <t>测试报告</t>
        </is>
      </c>
      <c r="J14" s="4" t="inlineStr">
        <is>
          <t>EU</t>
        </is>
      </c>
    </row>
    <row r="15">
      <c r="A15" s="4" t="inlineStr">
        <is>
          <t>A. 基本身份</t>
        </is>
      </c>
      <c r="B15" s="4" t="inlineStr">
        <is>
          <t>individual_battery_prefix</t>
        </is>
      </c>
      <c r="C15" s="4" t="inlineStr">
        <is>
          <t>个体电池编码前缀</t>
        </is>
      </c>
      <c r="D15" s="4" t="inlineStr">
        <is>
          <t>battery prefix</t>
        </is>
      </c>
      <c r="E15" s="4" t="inlineStr">
        <is>
          <t>文本</t>
        </is>
      </c>
      <c r="F15" s="4" t="inlineStr">
        <is>
          <t>SXP25Q4</t>
        </is>
      </c>
      <c r="G15" s="5" t="inlineStr">
        <is>
          <t>SXP25Q4</t>
        </is>
      </c>
      <c r="H15" s="4" t="inlineStr">
        <is>
          <t>用于序列化</t>
        </is>
      </c>
      <c r="I15" s="4" t="inlineStr">
        <is>
          <t>序列化规则</t>
        </is>
      </c>
      <c r="J15" s="4" t="inlineStr">
        <is>
          <t>EU</t>
        </is>
      </c>
    </row>
    <row r="16">
      <c r="A16" s="4" t="inlineStr">
        <is>
          <t>A. 基本身份</t>
        </is>
      </c>
      <c r="B16" s="4" t="inlineStr">
        <is>
          <t>due_diligence_policy_url</t>
        </is>
      </c>
      <c r="C16" s="4" t="inlineStr">
        <is>
          <t>尽调政策链接</t>
        </is>
      </c>
      <c r="D16" s="4" t="inlineStr">
        <is>
          <t>due diligence policy URL</t>
        </is>
      </c>
      <c r="E16" s="4" t="inlineStr">
        <is>
          <t>文本</t>
        </is>
      </c>
      <c r="F16" s="4" t="inlineStr">
        <is>
          <t>https://www.catl.com/</t>
        </is>
      </c>
      <c r="G16" s="5" t="inlineStr">
        <is>
          <t>https://www.catl.com/</t>
        </is>
      </c>
      <c r="H16" s="4" t="inlineStr">
        <is>
          <t>尽调公开字段</t>
        </is>
      </c>
      <c r="I16" s="4" t="inlineStr">
        <is>
          <t>政策文件/官网</t>
        </is>
      </c>
      <c r="J16" s="4" t="inlineStr">
        <is>
          <t>EU</t>
        </is>
      </c>
    </row>
    <row r="17">
      <c r="A17" s="4" t="inlineStr">
        <is>
          <t>A. 基本身份</t>
        </is>
      </c>
      <c r="B17" s="4" t="inlineStr">
        <is>
          <t>qr_object_id</t>
        </is>
      </c>
      <c r="C17" s="4" t="inlineStr">
        <is>
          <t>护照对象 ID</t>
        </is>
      </c>
      <c r="D17" s="4" t="inlineStr">
        <is>
          <t>passport object id</t>
        </is>
      </c>
      <c r="E17" s="4" t="inlineStr">
        <is>
          <t>文本</t>
        </is>
      </c>
      <c r="F17" s="4" t="inlineStr">
        <is>
          <t>passport-demo-001</t>
        </is>
      </c>
      <c r="G17" s="5" t="inlineStr">
        <is>
          <t>passport-demo-001</t>
        </is>
      </c>
      <c r="H17" s="4" t="inlineStr">
        <is>
          <t>数字护照对象键</t>
        </is>
      </c>
      <c r="I17" s="4" t="inlineStr">
        <is>
          <t>护照系统对象 ID</t>
        </is>
      </c>
      <c r="J17" s="4" t="inlineStr">
        <is>
          <t>EU</t>
        </is>
      </c>
    </row>
    <row r="18">
      <c r="A18" s="4" t="inlineStr">
        <is>
          <t>B. 合规准备状态</t>
        </is>
      </c>
      <c r="B18" s="4" t="inlineStr">
        <is>
          <t>pcf_study_status</t>
        </is>
      </c>
      <c r="C18" s="4" t="inlineStr">
        <is>
          <t>产品碳足迹研究底稿状态</t>
        </is>
      </c>
      <c r="D18" s="4" t="inlineStr">
        <is>
          <t>PCF study status</t>
        </is>
      </c>
      <c r="E18" s="4" t="inlineStr">
        <is>
          <t>文本</t>
        </is>
      </c>
      <c r="F18" s="4" t="inlineStr">
        <is>
          <t>齐备</t>
        </is>
      </c>
      <c r="G18" s="5" t="inlineStr">
        <is>
          <t>齐备</t>
        </is>
      </c>
      <c r="H18" s="4" t="inlineStr">
        <is>
          <t>碳足迹声明底稿是否齐备</t>
        </is>
      </c>
      <c r="I18" s="4" t="inlineStr">
        <is>
          <t>PCF 研究底稿</t>
        </is>
      </c>
      <c r="J18" s="4" t="inlineStr">
        <is>
          <t>EU</t>
        </is>
      </c>
    </row>
    <row r="19">
      <c r="A19" s="4" t="inlineStr">
        <is>
          <t>B. 合规准备状态</t>
        </is>
      </c>
      <c r="B19" s="4" t="inlineStr">
        <is>
          <t>test_report_status</t>
        </is>
      </c>
      <c r="C19" s="4" t="inlineStr">
        <is>
          <t>测试报告状态</t>
        </is>
      </c>
      <c r="D19" s="4" t="inlineStr">
        <is>
          <t>test report status</t>
        </is>
      </c>
      <c r="E19" s="4" t="inlineStr">
        <is>
          <t>文本</t>
        </is>
      </c>
      <c r="F19" s="4" t="inlineStr">
        <is>
          <t>齐备</t>
        </is>
      </c>
      <c r="G19" s="5" t="inlineStr">
        <is>
          <t>齐备</t>
        </is>
      </c>
      <c r="H19" s="4" t="inlineStr">
        <is>
          <t>正式合规评估硬材料</t>
        </is>
      </c>
      <c r="I19" s="4" t="inlineStr">
        <is>
          <t>测试报告原件</t>
        </is>
      </c>
      <c r="J19" s="4" t="inlineStr">
        <is>
          <t>EU</t>
        </is>
      </c>
    </row>
    <row r="20">
      <c r="A20" s="4" t="inlineStr">
        <is>
          <t>B. 合规准备状态</t>
        </is>
      </c>
      <c r="B20" s="4" t="inlineStr">
        <is>
          <t>technical_doc_status</t>
        </is>
      </c>
      <c r="C20" s="4" t="inlineStr">
        <is>
          <t>技术文档状态</t>
        </is>
      </c>
      <c r="D20" s="4" t="inlineStr">
        <is>
          <t>technical documentation status</t>
        </is>
      </c>
      <c r="E20" s="4" t="inlineStr">
        <is>
          <t>文本</t>
        </is>
      </c>
      <c r="F20" s="4" t="inlineStr">
        <is>
          <t>齐备</t>
        </is>
      </c>
      <c r="G20" s="5" t="inlineStr">
        <is>
          <t>齐备</t>
        </is>
      </c>
      <c r="H20" s="4" t="inlineStr">
        <is>
          <t>Annex VIII 关键材料</t>
        </is>
      </c>
      <c r="I20" s="4" t="inlineStr">
        <is>
          <t>图纸/说明书/计算书</t>
        </is>
      </c>
      <c r="J20" s="4" t="inlineStr">
        <is>
          <t>EU</t>
        </is>
      </c>
    </row>
    <row r="21">
      <c r="A21" s="4" t="inlineStr">
        <is>
          <t>B. 合规准备状态</t>
        </is>
      </c>
      <c r="B21" s="4" t="inlineStr">
        <is>
          <t>third_party_verification_status</t>
        </is>
      </c>
      <c r="C21" s="4" t="inlineStr">
        <is>
          <t>第三方核验状态</t>
        </is>
      </c>
      <c r="D21" s="4" t="inlineStr">
        <is>
          <t>third-party verification status</t>
        </is>
      </c>
      <c r="E21" s="4" t="inlineStr">
        <is>
          <t>文本</t>
        </is>
      </c>
      <c r="F21" s="4" t="inlineStr">
        <is>
          <t>已核验</t>
        </is>
      </c>
      <c r="G21" s="5" t="inlineStr">
        <is>
          <t>已核验</t>
        </is>
      </c>
      <c r="H21" s="4" t="inlineStr">
        <is>
          <t>碳足迹/再生料/上游 PCF 关键状态</t>
        </is>
      </c>
      <c r="I21" s="4" t="inlineStr">
        <is>
          <t>核验声明</t>
        </is>
      </c>
      <c r="J21" s="4" t="inlineStr">
        <is>
          <t>EU+CBAM</t>
        </is>
      </c>
    </row>
    <row r="22">
      <c r="A22" s="4" t="inlineStr">
        <is>
          <t>B. 合规准备状态</t>
        </is>
      </c>
      <c r="B22" s="4" t="inlineStr">
        <is>
          <t>passport_data_package_status</t>
        </is>
      </c>
      <c r="C22" s="4" t="inlineStr">
        <is>
          <t>护照数据包状态</t>
        </is>
      </c>
      <c r="D22" s="4" t="inlineStr">
        <is>
          <t>passport data package status</t>
        </is>
      </c>
      <c r="E22" s="4" t="inlineStr">
        <is>
          <t>文本</t>
        </is>
      </c>
      <c r="F22" s="4" t="inlineStr">
        <is>
          <t>齐备</t>
        </is>
      </c>
      <c r="G22" s="5" t="inlineStr">
        <is>
          <t>齐备</t>
        </is>
      </c>
      <c r="H22" s="4" t="inlineStr">
        <is>
          <t>决定护照对象能否生成</t>
        </is>
      </c>
      <c r="I22" s="4" t="inlineStr">
        <is>
          <t>结构化数据包</t>
        </is>
      </c>
      <c r="J22" s="4" t="inlineStr">
        <is>
          <t>EU</t>
        </is>
      </c>
    </row>
    <row r="23">
      <c r="A23" s="4" t="inlineStr">
        <is>
          <t>B. 合规准备状态</t>
        </is>
      </c>
      <c r="B23" s="4" t="inlineStr">
        <is>
          <t>access_matrix_status</t>
        </is>
      </c>
      <c r="C23" s="4" t="inlineStr">
        <is>
          <t>分层访问矩阵状态</t>
        </is>
      </c>
      <c r="D23" s="4" t="inlineStr">
        <is>
          <t>access matrix status</t>
        </is>
      </c>
      <c r="E23" s="4" t="inlineStr">
        <is>
          <t>文本</t>
        </is>
      </c>
      <c r="F23" s="4" t="inlineStr">
        <is>
          <t>齐备</t>
        </is>
      </c>
      <c r="G23" s="5" t="inlineStr">
        <is>
          <t>齐备</t>
        </is>
      </c>
      <c r="H23" s="4" t="inlineStr">
        <is>
          <t>保护数据主权的关键控制项</t>
        </is>
      </c>
      <c r="I23" s="4" t="inlineStr">
        <is>
          <t>访问矩阵文档</t>
        </is>
      </c>
      <c r="J23" s="4" t="inlineStr">
        <is>
          <t>EU+CBAM</t>
        </is>
      </c>
    </row>
    <row r="24">
      <c r="A24" s="4" t="inlineStr">
        <is>
          <t>B. 合规准备状态</t>
        </is>
      </c>
      <c r="B24" s="4" t="inlineStr">
        <is>
          <t>supplier_traceability_coverage_pct</t>
        </is>
      </c>
      <c r="C24" s="4" t="inlineStr">
        <is>
          <t>供应链追溯覆盖率</t>
        </is>
      </c>
      <c r="D24" s="4" t="inlineStr">
        <is>
          <t>traceability coverage</t>
        </is>
      </c>
      <c r="E24" s="4" t="inlineStr">
        <is>
          <t>%</t>
        </is>
      </c>
      <c r="F24" s="8" t="n">
        <v>0.92</v>
      </c>
      <c r="G24" s="9" t="n">
        <v>0.92</v>
      </c>
      <c r="H24" s="4" t="inlineStr">
        <is>
          <t>越高越能支撑尽调与追溯</t>
        </is>
      </c>
      <c r="I24" s="4" t="inlineStr">
        <is>
          <t>追溯台账</t>
        </is>
      </c>
      <c r="J24" s="4" t="inlineStr">
        <is>
          <t>EU+CBAM</t>
        </is>
      </c>
    </row>
    <row r="25">
      <c r="A25" s="4" t="inlineStr">
        <is>
          <t>B. 合规准备状态</t>
        </is>
      </c>
      <c r="B25" s="4" t="inlineStr">
        <is>
          <t>supplier_pcf_coverage_pct</t>
        </is>
      </c>
      <c r="C25" s="4" t="inlineStr">
        <is>
          <t>供应商 PCF 覆盖率</t>
        </is>
      </c>
      <c r="D25" s="4" t="inlineStr">
        <is>
          <t>supplier PCF coverage</t>
        </is>
      </c>
      <c r="E25" s="4" t="inlineStr">
        <is>
          <t>%</t>
        </is>
      </c>
      <c r="F25" s="8" t="n">
        <v>0.76</v>
      </c>
      <c r="G25" s="9" t="n">
        <v>0.76</v>
      </c>
      <c r="H25" s="4" t="inlineStr">
        <is>
          <t>决定上游碳数据基础强度</t>
        </is>
      </c>
      <c r="I25" s="4" t="inlineStr">
        <is>
          <t>供应商 PCF 报告</t>
        </is>
      </c>
      <c r="J25" s="4" t="inlineStr">
        <is>
          <t>EU+CBAM</t>
        </is>
      </c>
    </row>
    <row r="26">
      <c r="A26" s="4" t="inlineStr">
        <is>
          <t>B. 合规准备状态</t>
        </is>
      </c>
      <c r="B26" s="4" t="inlineStr">
        <is>
          <t>critical_material_scope</t>
        </is>
      </c>
      <c r="C26" s="4" t="inlineStr">
        <is>
          <t>关键原材料追溯范围</t>
        </is>
      </c>
      <c r="D26" s="4" t="inlineStr">
        <is>
          <t>critical material scope</t>
        </is>
      </c>
      <c r="E26" s="4" t="inlineStr">
        <is>
          <t>文本</t>
        </is>
      </c>
      <c r="F26" s="4" t="inlineStr">
        <is>
          <t>lithium / graphite / aluminium / copper / steel</t>
        </is>
      </c>
      <c r="G26" s="5" t="inlineStr">
        <is>
          <t>lithium / graphite / aluminium / copper / steel</t>
        </is>
      </c>
      <c r="H26" s="4" t="inlineStr">
        <is>
          <t>当前 demo 覆盖的关键原材料</t>
        </is>
      </c>
      <c r="I26" s="4" t="inlineStr">
        <is>
          <t>BOM/追溯记录</t>
        </is>
      </c>
      <c r="J26" s="4" t="inlineStr">
        <is>
          <t>EU+CBAM</t>
        </is>
      </c>
    </row>
    <row r="27">
      <c r="A27" s="4" t="inlineStr">
        <is>
          <t>C. 材料用量</t>
        </is>
      </c>
      <c r="B27" s="4" t="inlineStr">
        <is>
          <t>cathode_mass_kg</t>
        </is>
      </c>
      <c r="C27" s="4" t="inlineStr">
        <is>
          <t>正极材料质量</t>
        </is>
      </c>
      <c r="D27" s="4" t="inlineStr">
        <is>
          <t>cathode mass</t>
        </is>
      </c>
      <c r="E27" s="4" t="inlineStr">
        <is>
          <t>kg/pack</t>
        </is>
      </c>
      <c r="F27" s="6" t="n">
        <v>140</v>
      </c>
      <c r="G27" s="7" t="n">
        <v>140</v>
      </c>
      <c r="H27" s="4" t="inlineStr">
        <is>
          <t>原材料阶段输入</t>
        </is>
      </c>
      <c r="I27" s="4" t="inlineStr">
        <is>
          <t>BOM</t>
        </is>
      </c>
      <c r="J27" s="4" t="inlineStr">
        <is>
          <t>EU</t>
        </is>
      </c>
    </row>
    <row r="28">
      <c r="A28" s="4" t="inlineStr">
        <is>
          <t>C. 材料用量</t>
        </is>
      </c>
      <c r="B28" s="4" t="inlineStr">
        <is>
          <t>anode_mass_kg</t>
        </is>
      </c>
      <c r="C28" s="4" t="inlineStr">
        <is>
          <t>负极材料质量</t>
        </is>
      </c>
      <c r="D28" s="4" t="inlineStr">
        <is>
          <t>anode mass</t>
        </is>
      </c>
      <c r="E28" s="4" t="inlineStr">
        <is>
          <t>kg/pack</t>
        </is>
      </c>
      <c r="F28" s="6" t="n">
        <v>70</v>
      </c>
      <c r="G28" s="7" t="n">
        <v>70</v>
      </c>
      <c r="H28" s="4" t="inlineStr">
        <is>
          <t>原材料阶段输入</t>
        </is>
      </c>
      <c r="I28" s="4" t="inlineStr">
        <is>
          <t>BOM</t>
        </is>
      </c>
      <c r="J28" s="4" t="inlineStr">
        <is>
          <t>EU</t>
        </is>
      </c>
    </row>
    <row r="29">
      <c r="A29" s="4" t="inlineStr">
        <is>
          <t>C. 材料用量</t>
        </is>
      </c>
      <c r="B29" s="4" t="inlineStr">
        <is>
          <t>electrolyte_mass_kg</t>
        </is>
      </c>
      <c r="C29" s="4" t="inlineStr">
        <is>
          <t>电解液质量</t>
        </is>
      </c>
      <c r="D29" s="4" t="inlineStr">
        <is>
          <t>electrolyte mass</t>
        </is>
      </c>
      <c r="E29" s="4" t="inlineStr">
        <is>
          <t>kg/pack</t>
        </is>
      </c>
      <c r="F29" s="6" t="n">
        <v>35</v>
      </c>
      <c r="G29" s="7" t="n">
        <v>35</v>
      </c>
      <c r="H29" s="4" t="inlineStr">
        <is>
          <t>原材料阶段输入</t>
        </is>
      </c>
      <c r="I29" s="4" t="inlineStr">
        <is>
          <t>BOM</t>
        </is>
      </c>
      <c r="J29" s="4" t="inlineStr">
        <is>
          <t>EU</t>
        </is>
      </c>
    </row>
    <row r="30">
      <c r="A30" s="4" t="inlineStr">
        <is>
          <t>C. 材料用量</t>
        </is>
      </c>
      <c r="B30" s="4" t="inlineStr">
        <is>
          <t>separator_mass_kg</t>
        </is>
      </c>
      <c r="C30" s="4" t="inlineStr">
        <is>
          <t>隔膜质量</t>
        </is>
      </c>
      <c r="D30" s="4" t="inlineStr">
        <is>
          <t>separator mass</t>
        </is>
      </c>
      <c r="E30" s="4" t="inlineStr">
        <is>
          <t>kg/pack</t>
        </is>
      </c>
      <c r="F30" s="6" t="n">
        <v>12</v>
      </c>
      <c r="G30" s="7" t="n">
        <v>12</v>
      </c>
      <c r="H30" s="4" t="inlineStr">
        <is>
          <t>原材料阶段输入</t>
        </is>
      </c>
      <c r="I30" s="4" t="inlineStr">
        <is>
          <t>BOM</t>
        </is>
      </c>
      <c r="J30" s="4" t="inlineStr">
        <is>
          <t>EU</t>
        </is>
      </c>
    </row>
    <row r="31">
      <c r="A31" s="4" t="inlineStr">
        <is>
          <t>C. 材料用量</t>
        </is>
      </c>
      <c r="B31" s="4" t="inlineStr">
        <is>
          <t>copper_mass_kg</t>
        </is>
      </c>
      <c r="C31" s="4" t="inlineStr">
        <is>
          <t>铜材质量</t>
        </is>
      </c>
      <c r="D31" s="4" t="inlineStr">
        <is>
          <t>copper mass</t>
        </is>
      </c>
      <c r="E31" s="4" t="inlineStr">
        <is>
          <t>kg/pack</t>
        </is>
      </c>
      <c r="F31" s="6" t="n">
        <v>50</v>
      </c>
      <c r="G31" s="7" t="n">
        <v>50</v>
      </c>
      <c r="H31" s="4" t="inlineStr">
        <is>
          <t>原材料阶段输入</t>
        </is>
      </c>
      <c r="I31" s="4" t="inlineStr">
        <is>
          <t>BOM</t>
        </is>
      </c>
      <c r="J31" s="4" t="inlineStr">
        <is>
          <t>EU</t>
        </is>
      </c>
    </row>
    <row r="32">
      <c r="A32" s="4" t="inlineStr">
        <is>
          <t>C. 材料用量</t>
        </is>
      </c>
      <c r="B32" s="4" t="inlineStr">
        <is>
          <t>aluminium_mass_kg</t>
        </is>
      </c>
      <c r="C32" s="4" t="inlineStr">
        <is>
          <t>铝材质量</t>
        </is>
      </c>
      <c r="D32" s="4" t="inlineStr">
        <is>
          <t>aluminium mass</t>
        </is>
      </c>
      <c r="E32" s="4" t="inlineStr">
        <is>
          <t>kg/pack</t>
        </is>
      </c>
      <c r="F32" s="6" t="n">
        <v>80</v>
      </c>
      <c r="G32" s="7" t="n">
        <v>80</v>
      </c>
      <c r="H32" s="4" t="inlineStr">
        <is>
          <t>EU 与 CBAM 共同关注</t>
        </is>
      </c>
      <c r="I32" s="4" t="inlineStr">
        <is>
          <t>BOM</t>
        </is>
      </c>
      <c r="J32" s="4" t="inlineStr">
        <is>
          <t>EU+CBAM</t>
        </is>
      </c>
    </row>
    <row r="33">
      <c r="A33" s="4" t="inlineStr">
        <is>
          <t>C. 材料用量</t>
        </is>
      </c>
      <c r="B33" s="4" t="inlineStr">
        <is>
          <t>steel_mass_kg</t>
        </is>
      </c>
      <c r="C33" s="4" t="inlineStr">
        <is>
          <t>钢材质量</t>
        </is>
      </c>
      <c r="D33" s="4" t="inlineStr">
        <is>
          <t>steel mass</t>
        </is>
      </c>
      <c r="E33" s="4" t="inlineStr">
        <is>
          <t>kg/pack</t>
        </is>
      </c>
      <c r="F33" s="6" t="n">
        <v>30</v>
      </c>
      <c r="G33" s="7" t="n">
        <v>30</v>
      </c>
      <c r="H33" s="4" t="inlineStr">
        <is>
          <t>EU 与 CBAM 共同关注</t>
        </is>
      </c>
      <c r="I33" s="4" t="inlineStr">
        <is>
          <t>BOM</t>
        </is>
      </c>
      <c r="J33" s="4" t="inlineStr">
        <is>
          <t>EU+CBAM</t>
        </is>
      </c>
    </row>
    <row r="34">
      <c r="A34" s="4" t="inlineStr">
        <is>
          <t>C. 材料用量</t>
        </is>
      </c>
      <c r="B34" s="4" t="inlineStr">
        <is>
          <t>plastic_mass_kg</t>
        </is>
      </c>
      <c r="C34" s="4" t="inlineStr">
        <is>
          <t>塑料件质量</t>
        </is>
      </c>
      <c r="D34" s="4" t="inlineStr">
        <is>
          <t>plastic mass</t>
        </is>
      </c>
      <c r="E34" s="4" t="inlineStr">
        <is>
          <t>kg/pack</t>
        </is>
      </c>
      <c r="F34" s="6" t="n">
        <v>25</v>
      </c>
      <c r="G34" s="7" t="n">
        <v>25</v>
      </c>
      <c r="H34" s="4" t="inlineStr">
        <is>
          <t>原材料阶段输入</t>
        </is>
      </c>
      <c r="I34" s="4" t="inlineStr">
        <is>
          <t>BOM</t>
        </is>
      </c>
      <c r="J34" s="4" t="inlineStr">
        <is>
          <t>EU</t>
        </is>
      </c>
    </row>
    <row r="35">
      <c r="A35" s="4" t="inlineStr">
        <is>
          <t>C. 材料用量</t>
        </is>
      </c>
      <c r="B35" s="4" t="inlineStr">
        <is>
          <t>other_material_mass_kg</t>
        </is>
      </c>
      <c r="C35" s="4" t="inlineStr">
        <is>
          <t>其他材料质量</t>
        </is>
      </c>
      <c r="D35" s="4" t="inlineStr">
        <is>
          <t>other material mass</t>
        </is>
      </c>
      <c r="E35" s="4" t="inlineStr">
        <is>
          <t>kg/pack</t>
        </is>
      </c>
      <c r="F35" s="6" t="n">
        <v>100</v>
      </c>
      <c r="G35" s="7" t="n">
        <v>100</v>
      </c>
      <c r="H35" s="4" t="inlineStr">
        <is>
          <t>给 demo 留出杂项空间</t>
        </is>
      </c>
      <c r="I35" s="4" t="inlineStr">
        <is>
          <t>BOM</t>
        </is>
      </c>
      <c r="J35" s="4" t="inlineStr">
        <is>
          <t>EU</t>
        </is>
      </c>
    </row>
    <row r="36">
      <c r="A36" s="4" t="inlineStr">
        <is>
          <t>D. 材料排放因子</t>
        </is>
      </c>
      <c r="B36" s="4" t="inlineStr">
        <is>
          <t>cathode_pcf</t>
        </is>
      </c>
      <c r="C36" s="4" t="inlineStr">
        <is>
          <t>正极材料排放因子</t>
        </is>
      </c>
      <c r="D36" s="4" t="inlineStr">
        <is>
          <t>cathode PCF</t>
        </is>
      </c>
      <c r="E36" s="4" t="inlineStr">
        <is>
          <t>kgCO2e/kg</t>
        </is>
      </c>
      <c r="F36" s="6" t="n">
        <v>5</v>
      </c>
      <c r="G36" s="7" t="n">
        <v>5</v>
      </c>
      <c r="H36" s="4" t="inlineStr">
        <is>
          <t>供应商 PCF 或行业因子</t>
        </is>
      </c>
      <c r="I36" s="4" t="inlineStr">
        <is>
          <t>供应商 PCF / 因子库</t>
        </is>
      </c>
      <c r="J36" s="4" t="inlineStr">
        <is>
          <t>EU</t>
        </is>
      </c>
    </row>
    <row r="37">
      <c r="A37" s="4" t="inlineStr">
        <is>
          <t>D. 材料排放因子</t>
        </is>
      </c>
      <c r="B37" s="4" t="inlineStr">
        <is>
          <t>anode_pcf</t>
        </is>
      </c>
      <c r="C37" s="4" t="inlineStr">
        <is>
          <t>负极材料排放因子</t>
        </is>
      </c>
      <c r="D37" s="4" t="inlineStr">
        <is>
          <t>anode PCF</t>
        </is>
      </c>
      <c r="E37" s="4" t="inlineStr">
        <is>
          <t>kgCO2e/kg</t>
        </is>
      </c>
      <c r="F37" s="6" t="n">
        <v>6.5</v>
      </c>
      <c r="G37" s="7" t="n">
        <v>6.5</v>
      </c>
      <c r="H37" s="4" t="inlineStr">
        <is>
          <t>供应商 PCF 或行业因子</t>
        </is>
      </c>
      <c r="I37" s="4" t="inlineStr">
        <is>
          <t>供应商 PCF / 因子库</t>
        </is>
      </c>
      <c r="J37" s="4" t="inlineStr">
        <is>
          <t>EU</t>
        </is>
      </c>
    </row>
    <row r="38">
      <c r="A38" s="4" t="inlineStr">
        <is>
          <t>D. 材料排放因子</t>
        </is>
      </c>
      <c r="B38" s="4" t="inlineStr">
        <is>
          <t>electrolyte_pcf</t>
        </is>
      </c>
      <c r="C38" s="4" t="inlineStr">
        <is>
          <t>电解液排放因子</t>
        </is>
      </c>
      <c r="D38" s="4" t="inlineStr">
        <is>
          <t>electrolyte PCF</t>
        </is>
      </c>
      <c r="E38" s="4" t="inlineStr">
        <is>
          <t>kgCO2e/kg</t>
        </is>
      </c>
      <c r="F38" s="6" t="n">
        <v>8</v>
      </c>
      <c r="G38" s="7" t="n">
        <v>8</v>
      </c>
      <c r="H38" s="4" t="inlineStr">
        <is>
          <t>供应商 PCF 或行业因子</t>
        </is>
      </c>
      <c r="I38" s="4" t="inlineStr">
        <is>
          <t>供应商 PCF / 因子库</t>
        </is>
      </c>
      <c r="J38" s="4" t="inlineStr">
        <is>
          <t>EU</t>
        </is>
      </c>
    </row>
    <row r="39">
      <c r="A39" s="4" t="inlineStr">
        <is>
          <t>D. 材料排放因子</t>
        </is>
      </c>
      <c r="B39" s="4" t="inlineStr">
        <is>
          <t>separator_pcf</t>
        </is>
      </c>
      <c r="C39" s="4" t="inlineStr">
        <is>
          <t>隔膜排放因子</t>
        </is>
      </c>
      <c r="D39" s="4" t="inlineStr">
        <is>
          <t>separator PCF</t>
        </is>
      </c>
      <c r="E39" s="4" t="inlineStr">
        <is>
          <t>kgCO2e/kg</t>
        </is>
      </c>
      <c r="F39" s="6" t="n">
        <v>4.5</v>
      </c>
      <c r="G39" s="7" t="n">
        <v>4.5</v>
      </c>
      <c r="H39" s="4" t="inlineStr">
        <is>
          <t>供应商 PCF 或行业因子</t>
        </is>
      </c>
      <c r="I39" s="4" t="inlineStr">
        <is>
          <t>供应商 PCF / 因子库</t>
        </is>
      </c>
      <c r="J39" s="4" t="inlineStr">
        <is>
          <t>EU</t>
        </is>
      </c>
    </row>
    <row r="40">
      <c r="A40" s="4" t="inlineStr">
        <is>
          <t>D. 材料排放因子</t>
        </is>
      </c>
      <c r="B40" s="4" t="inlineStr">
        <is>
          <t>copper_pcf</t>
        </is>
      </c>
      <c r="C40" s="4" t="inlineStr">
        <is>
          <t>铜材排放因子</t>
        </is>
      </c>
      <c r="D40" s="4" t="inlineStr">
        <is>
          <t>copper PCF</t>
        </is>
      </c>
      <c r="E40" s="4" t="inlineStr">
        <is>
          <t>kgCO2e/kg</t>
        </is>
      </c>
      <c r="F40" s="6" t="n">
        <v>3.8</v>
      </c>
      <c r="G40" s="7" t="n">
        <v>3.8</v>
      </c>
      <c r="H40" s="4" t="inlineStr">
        <is>
          <t>供应商 PCF 或行业因子</t>
        </is>
      </c>
      <c r="I40" s="4" t="inlineStr">
        <is>
          <t>供应商 PCF / 因子库</t>
        </is>
      </c>
      <c r="J40" s="4" t="inlineStr">
        <is>
          <t>EU</t>
        </is>
      </c>
    </row>
    <row r="41">
      <c r="A41" s="4" t="inlineStr">
        <is>
          <t>D. 材料排放因子</t>
        </is>
      </c>
      <c r="B41" s="4" t="inlineStr">
        <is>
          <t>aluminium_direct_pcf</t>
        </is>
      </c>
      <c r="C41" s="4" t="inlineStr">
        <is>
          <t>铝材直接排放因子</t>
        </is>
      </c>
      <c r="D41" s="4" t="inlineStr">
        <is>
          <t>aluminium direct factor</t>
        </is>
      </c>
      <c r="E41" s="4" t="inlineStr">
        <is>
          <t>kgCO2e/kg</t>
        </is>
      </c>
      <c r="F41" s="6" t="n">
        <v>9</v>
      </c>
      <c r="G41" s="7" t="n">
        <v>9</v>
      </c>
      <c r="H41" s="4" t="inlineStr">
        <is>
          <t>可借用到 CBAM direct emissions</t>
        </is>
      </c>
      <c r="I41" s="4" t="inlineStr">
        <is>
          <t>supplier PCF / 安装点数据</t>
        </is>
      </c>
      <c r="J41" s="4" t="inlineStr">
        <is>
          <t>EU+CBAM</t>
        </is>
      </c>
    </row>
    <row r="42">
      <c r="A42" s="4" t="inlineStr">
        <is>
          <t>D. 材料排放因子</t>
        </is>
      </c>
      <c r="B42" s="4" t="inlineStr">
        <is>
          <t>aluminium_indirect_pcf</t>
        </is>
      </c>
      <c r="C42" s="4" t="inlineStr">
        <is>
          <t>铝材间接排放因子</t>
        </is>
      </c>
      <c r="D42" s="4" t="inlineStr">
        <is>
          <t>aluminium indirect factor</t>
        </is>
      </c>
      <c r="E42" s="4" t="inlineStr">
        <is>
          <t>kgCO2e/kg</t>
        </is>
      </c>
      <c r="F42" s="6" t="n">
        <v>5</v>
      </c>
      <c r="G42" s="7" t="n">
        <v>5</v>
      </c>
      <c r="H42" s="4" t="inlineStr">
        <is>
          <t>可借用到 CBAM indirect emissions</t>
        </is>
      </c>
      <c r="I42" s="4" t="inlineStr">
        <is>
          <t>supplier PCF / 电力因子</t>
        </is>
      </c>
      <c r="J42" s="4" t="inlineStr">
        <is>
          <t>EU+CBAM</t>
        </is>
      </c>
    </row>
    <row r="43">
      <c r="A43" s="4" t="inlineStr">
        <is>
          <t>D. 材料排放因子</t>
        </is>
      </c>
      <c r="B43" s="4" t="inlineStr">
        <is>
          <t>steel_direct_pcf</t>
        </is>
      </c>
      <c r="C43" s="4" t="inlineStr">
        <is>
          <t>钢材直接排放因子</t>
        </is>
      </c>
      <c r="D43" s="4" t="inlineStr">
        <is>
          <t>steel direct factor</t>
        </is>
      </c>
      <c r="E43" s="4" t="inlineStr">
        <is>
          <t>kgCO2e/kg</t>
        </is>
      </c>
      <c r="F43" s="6" t="n">
        <v>2</v>
      </c>
      <c r="G43" s="7" t="n">
        <v>2</v>
      </c>
      <c r="H43" s="4" t="inlineStr">
        <is>
          <t>可借用到 CBAM direct emissions</t>
        </is>
      </c>
      <c r="I43" s="4" t="inlineStr">
        <is>
          <t>supplier PCF / 安装点数据</t>
        </is>
      </c>
      <c r="J43" s="4" t="inlineStr">
        <is>
          <t>EU+CBAM</t>
        </is>
      </c>
    </row>
    <row r="44">
      <c r="A44" s="4" t="inlineStr">
        <is>
          <t>D. 材料排放因子</t>
        </is>
      </c>
      <c r="B44" s="4" t="inlineStr">
        <is>
          <t>steel_indirect_pcf</t>
        </is>
      </c>
      <c r="C44" s="4" t="inlineStr">
        <is>
          <t>钢材间接排放因子</t>
        </is>
      </c>
      <c r="D44" s="4" t="inlineStr">
        <is>
          <t>steel indirect factor</t>
        </is>
      </c>
      <c r="E44" s="4" t="inlineStr">
        <is>
          <t>kgCO2e/kg</t>
        </is>
      </c>
      <c r="F44" s="6" t="n">
        <v>0.7</v>
      </c>
      <c r="G44" s="7" t="n">
        <v>0.7</v>
      </c>
      <c r="H44" s="4" t="inlineStr">
        <is>
          <t>可借用到 CBAM indirect emissions</t>
        </is>
      </c>
      <c r="I44" s="4" t="inlineStr">
        <is>
          <t>supplier PCF / 电力因子</t>
        </is>
      </c>
      <c r="J44" s="4" t="inlineStr">
        <is>
          <t>EU+CBAM</t>
        </is>
      </c>
    </row>
    <row r="45">
      <c r="A45" s="4" t="inlineStr">
        <is>
          <t>D. 材料排放因子</t>
        </is>
      </c>
      <c r="B45" s="4" t="inlineStr">
        <is>
          <t>plastic_pcf</t>
        </is>
      </c>
      <c r="C45" s="4" t="inlineStr">
        <is>
          <t>塑料件排放因子</t>
        </is>
      </c>
      <c r="D45" s="4" t="inlineStr">
        <is>
          <t>plastic PCF</t>
        </is>
      </c>
      <c r="E45" s="4" t="inlineStr">
        <is>
          <t>kgCO2e/kg</t>
        </is>
      </c>
      <c r="F45" s="6" t="n">
        <v>3</v>
      </c>
      <c r="G45" s="7" t="n">
        <v>3</v>
      </c>
      <c r="H45" s="4" t="inlineStr">
        <is>
          <t>供应商 PCF 或行业因子</t>
        </is>
      </c>
      <c r="I45" s="4" t="inlineStr">
        <is>
          <t>供应商 PCF / 因子库</t>
        </is>
      </c>
      <c r="J45" s="4" t="inlineStr">
        <is>
          <t>EU</t>
        </is>
      </c>
    </row>
    <row r="46">
      <c r="A46" s="4" t="inlineStr">
        <is>
          <t>D. 材料排放因子</t>
        </is>
      </c>
      <c r="B46" s="4" t="inlineStr">
        <is>
          <t>other_material_pcf</t>
        </is>
      </c>
      <c r="C46" s="4" t="inlineStr">
        <is>
          <t>其他材料排放因子</t>
        </is>
      </c>
      <c r="D46" s="4" t="inlineStr">
        <is>
          <t>other material PCF</t>
        </is>
      </c>
      <c r="E46" s="4" t="inlineStr">
        <is>
          <t>kgCO2e/kg</t>
        </is>
      </c>
      <c r="F46" s="6" t="n">
        <v>2.3</v>
      </c>
      <c r="G46" s="7" t="n">
        <v>2.3</v>
      </c>
      <c r="H46" s="4" t="inlineStr">
        <is>
          <t>供应商 PCF 或行业因子</t>
        </is>
      </c>
      <c r="I46" s="4" t="inlineStr">
        <is>
          <t>供应商 PCF / 因子库</t>
        </is>
      </c>
      <c r="J46" s="4" t="inlineStr">
        <is>
          <t>EU</t>
        </is>
      </c>
    </row>
    <row r="47">
      <c r="A47" s="4" t="inlineStr">
        <is>
          <t>E. 制造能耗与工艺</t>
        </is>
      </c>
      <c r="B47" s="4" t="inlineStr">
        <is>
          <t>grid_electricity_kwh</t>
        </is>
      </c>
      <c r="C47" s="4" t="inlineStr">
        <is>
          <t>电网电使用量</t>
        </is>
      </c>
      <c r="D47" s="4" t="inlineStr">
        <is>
          <t>grid electricity use</t>
        </is>
      </c>
      <c r="E47" s="4" t="inlineStr">
        <is>
          <t>kWh/pack</t>
        </is>
      </c>
      <c r="F47" s="6" t="n">
        <v>450</v>
      </c>
      <c r="G47" s="7" t="n">
        <v>450</v>
      </c>
      <c r="H47" s="4" t="inlineStr">
        <is>
          <t>制造阶段 Scope 2 类输入</t>
        </is>
      </c>
      <c r="I47" s="4" t="inlineStr">
        <is>
          <t>电表/电费单</t>
        </is>
      </c>
      <c r="J47" s="4" t="inlineStr">
        <is>
          <t>EU+CBAM</t>
        </is>
      </c>
    </row>
    <row r="48">
      <c r="A48" s="4" t="inlineStr">
        <is>
          <t>E. 制造能耗与工艺</t>
        </is>
      </c>
      <c r="B48" s="4" t="inlineStr">
        <is>
          <t>green_electricity_kwh</t>
        </is>
      </c>
      <c r="C48" s="4" t="inlineStr">
        <is>
          <t>绿电使用量</t>
        </is>
      </c>
      <c r="D48" s="4" t="inlineStr">
        <is>
          <t>green electricity use</t>
        </is>
      </c>
      <c r="E48" s="4" t="inlineStr">
        <is>
          <t>kWh/pack</t>
        </is>
      </c>
      <c r="F48" s="6" t="n">
        <v>150</v>
      </c>
      <c r="G48" s="7" t="n">
        <v>150</v>
      </c>
      <c r="H48" s="4" t="inlineStr">
        <is>
          <t>体现零碳园区优势</t>
        </is>
      </c>
      <c r="I48" s="4" t="inlineStr">
        <is>
          <t>绿证/PPA/电表</t>
        </is>
      </c>
      <c r="J48" s="4" t="inlineStr">
        <is>
          <t>EU</t>
        </is>
      </c>
    </row>
    <row r="49">
      <c r="A49" s="4" t="inlineStr">
        <is>
          <t>E. 制造能耗与工艺</t>
        </is>
      </c>
      <c r="B49" s="4" t="inlineStr">
        <is>
          <t>green_electricity_factor</t>
        </is>
      </c>
      <c r="C49" s="4" t="inlineStr">
        <is>
          <t>绿电排放因子</t>
        </is>
      </c>
      <c r="D49" s="4" t="inlineStr">
        <is>
          <t>green electricity factor</t>
        </is>
      </c>
      <c r="E49" s="4" t="inlineStr">
        <is>
          <t>kgCO2e/kWh</t>
        </is>
      </c>
      <c r="F49" s="6" t="n">
        <v>0.05</v>
      </c>
      <c r="G49" s="7" t="n">
        <v>0.05</v>
      </c>
      <c r="H49" s="4" t="inlineStr">
        <is>
          <t>demo 因子</t>
        </is>
      </c>
      <c r="I49" s="4" t="inlineStr">
        <is>
          <t>方法说明/因子库</t>
        </is>
      </c>
      <c r="J49" s="4" t="inlineStr">
        <is>
          <t>EU</t>
        </is>
      </c>
    </row>
    <row r="50">
      <c r="A50" s="4" t="inlineStr">
        <is>
          <t>E. 制造能耗与工艺</t>
        </is>
      </c>
      <c r="B50" s="4" t="inlineStr">
        <is>
          <t>grid_electricity_factor</t>
        </is>
      </c>
      <c r="C50" s="4" t="inlineStr">
        <is>
          <t>电网电排放因子</t>
        </is>
      </c>
      <c r="D50" s="4" t="inlineStr">
        <is>
          <t>grid electricity factor</t>
        </is>
      </c>
      <c r="E50" s="4" t="inlineStr">
        <is>
          <t>kgCO2e/kWh</t>
        </is>
      </c>
      <c r="F50" s="6" t="n">
        <v>0.55</v>
      </c>
      <c r="G50" s="7" t="n">
        <v>0.55</v>
      </c>
      <c r="H50" s="4" t="inlineStr">
        <is>
          <t>demo 因子</t>
        </is>
      </c>
      <c r="I50" s="4" t="inlineStr">
        <is>
          <t>方法说明/因子库</t>
        </is>
      </c>
      <c r="J50" s="4" t="inlineStr">
        <is>
          <t>EU+CBAM</t>
        </is>
      </c>
    </row>
    <row r="51">
      <c r="A51" s="4" t="inlineStr">
        <is>
          <t>E. 制造能耗与工艺</t>
        </is>
      </c>
      <c r="B51" s="4" t="inlineStr">
        <is>
          <t>steam_mj</t>
        </is>
      </c>
      <c r="C51" s="4" t="inlineStr">
        <is>
          <t>蒸汽使用量</t>
        </is>
      </c>
      <c r="D51" s="4" t="inlineStr">
        <is>
          <t>steam use</t>
        </is>
      </c>
      <c r="E51" s="4" t="inlineStr">
        <is>
          <t>MJ/pack</t>
        </is>
      </c>
      <c r="F51" s="6" t="n">
        <v>220</v>
      </c>
      <c r="G51" s="7" t="n">
        <v>220</v>
      </c>
      <c r="H51" s="4" t="inlineStr">
        <is>
          <t>制造阶段能源输入</t>
        </is>
      </c>
      <c r="I51" s="4" t="inlineStr">
        <is>
          <t>蒸汽台账/发票</t>
        </is>
      </c>
      <c r="J51" s="4" t="inlineStr">
        <is>
          <t>EU</t>
        </is>
      </c>
    </row>
    <row r="52">
      <c r="A52" s="4" t="inlineStr">
        <is>
          <t>E. 制造能耗与工艺</t>
        </is>
      </c>
      <c r="B52" s="4" t="inlineStr">
        <is>
          <t>steam_factor</t>
        </is>
      </c>
      <c r="C52" s="4" t="inlineStr">
        <is>
          <t>蒸汽排放因子</t>
        </is>
      </c>
      <c r="D52" s="4" t="inlineStr">
        <is>
          <t>steam factor</t>
        </is>
      </c>
      <c r="E52" s="4" t="inlineStr">
        <is>
          <t>kgCO2e/MJ</t>
        </is>
      </c>
      <c r="F52" s="6" t="n">
        <v>0.07000000000000001</v>
      </c>
      <c r="G52" s="7" t="n">
        <v>0.07000000000000001</v>
      </c>
      <c r="H52" s="4" t="inlineStr">
        <is>
          <t>demo 因子</t>
        </is>
      </c>
      <c r="I52" s="4" t="inlineStr">
        <is>
          <t>方法说明/因子库</t>
        </is>
      </c>
      <c r="J52" s="4" t="inlineStr">
        <is>
          <t>EU</t>
        </is>
      </c>
    </row>
    <row r="53">
      <c r="A53" s="4" t="inlineStr">
        <is>
          <t>E. 制造能耗与工艺</t>
        </is>
      </c>
      <c r="B53" s="4" t="inlineStr">
        <is>
          <t>natural_gas_mj</t>
        </is>
      </c>
      <c r="C53" s="4" t="inlineStr">
        <is>
          <t>天然气使用量</t>
        </is>
      </c>
      <c r="D53" s="4" t="inlineStr">
        <is>
          <t>natural gas use</t>
        </is>
      </c>
      <c r="E53" s="4" t="inlineStr">
        <is>
          <t>MJ/pack</t>
        </is>
      </c>
      <c r="F53" s="6" t="n">
        <v>120</v>
      </c>
      <c r="G53" s="7" t="n">
        <v>120</v>
      </c>
      <c r="H53" s="4" t="inlineStr">
        <is>
          <t>制造阶段直接燃料输入</t>
        </is>
      </c>
      <c r="I53" s="4" t="inlineStr">
        <is>
          <t>燃气台账/发票</t>
        </is>
      </c>
      <c r="J53" s="4" t="inlineStr">
        <is>
          <t>EU</t>
        </is>
      </c>
    </row>
    <row r="54">
      <c r="A54" s="4" t="inlineStr">
        <is>
          <t>E. 制造能耗与工艺</t>
        </is>
      </c>
      <c r="B54" s="4" t="inlineStr">
        <is>
          <t>natural_gas_factor</t>
        </is>
      </c>
      <c r="C54" s="4" t="inlineStr">
        <is>
          <t>天然气排放因子</t>
        </is>
      </c>
      <c r="D54" s="4" t="inlineStr">
        <is>
          <t>natural gas factor</t>
        </is>
      </c>
      <c r="E54" s="4" t="inlineStr">
        <is>
          <t>kgCO2e/MJ</t>
        </is>
      </c>
      <c r="F54" s="6" t="n">
        <v>0.056</v>
      </c>
      <c r="G54" s="7" t="n">
        <v>0.056</v>
      </c>
      <c r="H54" s="4" t="inlineStr">
        <is>
          <t>demo 因子</t>
        </is>
      </c>
      <c r="I54" s="4" t="inlineStr">
        <is>
          <t>方法说明/因子库</t>
        </is>
      </c>
      <c r="J54" s="4" t="inlineStr">
        <is>
          <t>EU</t>
        </is>
      </c>
    </row>
    <row r="55">
      <c r="A55" s="4" t="inlineStr">
        <is>
          <t>E. 制造能耗与工艺</t>
        </is>
      </c>
      <c r="B55" s="4" t="inlineStr">
        <is>
          <t>direct_process_emissions</t>
        </is>
      </c>
      <c r="C55" s="4" t="inlineStr">
        <is>
          <t>直接工艺排放</t>
        </is>
      </c>
      <c r="D55" s="4" t="inlineStr">
        <is>
          <t>direct process emissions</t>
        </is>
      </c>
      <c r="E55" s="4" t="inlineStr">
        <is>
          <t>kgCO2e/pack</t>
        </is>
      </c>
      <c r="F55" s="6" t="n">
        <v>18</v>
      </c>
      <c r="G55" s="7" t="n">
        <v>18</v>
      </c>
      <c r="H55" s="4" t="inlineStr">
        <is>
          <t>补充非能耗类排放</t>
        </is>
      </c>
      <c r="I55" s="4" t="inlineStr">
        <is>
          <t>工艺排放记录</t>
        </is>
      </c>
      <c r="J55" s="4" t="inlineStr">
        <is>
          <t>EU</t>
        </is>
      </c>
    </row>
    <row r="56">
      <c r="A56" s="4" t="inlineStr">
        <is>
          <t>E. 制造能耗与工艺</t>
        </is>
      </c>
      <c r="B56" s="4" t="inlineStr">
        <is>
          <t>production_yield_pct</t>
        </is>
      </c>
      <c r="C56" s="4" t="inlineStr">
        <is>
          <t>生产良率</t>
        </is>
      </c>
      <c r="D56" s="4" t="inlineStr">
        <is>
          <t>production yield</t>
        </is>
      </c>
      <c r="E56" s="4" t="inlineStr">
        <is>
          <t>%</t>
        </is>
      </c>
      <c r="F56" s="8" t="n">
        <v>0.9399999999999999</v>
      </c>
      <c r="G56" s="9" t="n">
        <v>0.9399999999999999</v>
      </c>
      <c r="H56" s="4" t="inlineStr">
        <is>
          <t>良率越低单位排放越高</t>
        </is>
      </c>
      <c r="I56" s="4" t="inlineStr">
        <is>
          <t>生产台账/MES</t>
        </is>
      </c>
      <c r="J56" s="4" t="inlineStr">
        <is>
          <t>EU</t>
        </is>
      </c>
    </row>
    <row r="57">
      <c r="A57" s="4" t="inlineStr">
        <is>
          <t>F. 运输与生命周期</t>
        </is>
      </c>
      <c r="B57" s="4" t="inlineStr">
        <is>
          <t>inbound_transport_kgco2</t>
        </is>
      </c>
      <c r="C57" s="4" t="inlineStr">
        <is>
          <t>上游来料运输排放</t>
        </is>
      </c>
      <c r="D57" s="4" t="inlineStr">
        <is>
          <t>inbound transport</t>
        </is>
      </c>
      <c r="E57" s="4" t="inlineStr">
        <is>
          <t>kgCO2e/pack</t>
        </is>
      </c>
      <c r="F57" s="6" t="n">
        <v>24</v>
      </c>
      <c r="G57" s="7" t="n">
        <v>24</v>
      </c>
      <c r="H57" s="4" t="inlineStr">
        <is>
          <t>运输阶段输入</t>
        </is>
      </c>
      <c r="I57" s="4" t="inlineStr">
        <is>
          <t>物流记录</t>
        </is>
      </c>
      <c r="J57" s="4" t="inlineStr">
        <is>
          <t>EU</t>
        </is>
      </c>
    </row>
    <row r="58">
      <c r="A58" s="4" t="inlineStr">
        <is>
          <t>F. 运输与生命周期</t>
        </is>
      </c>
      <c r="B58" s="4" t="inlineStr">
        <is>
          <t>outbound_transport_kgco2</t>
        </is>
      </c>
      <c r="C58" s="4" t="inlineStr">
        <is>
          <t>下游出货运输排放</t>
        </is>
      </c>
      <c r="D58" s="4" t="inlineStr">
        <is>
          <t>outbound transport</t>
        </is>
      </c>
      <c r="E58" s="4" t="inlineStr">
        <is>
          <t>kgCO2e/pack</t>
        </is>
      </c>
      <c r="F58" s="6" t="n">
        <v>18</v>
      </c>
      <c r="G58" s="7" t="n">
        <v>18</v>
      </c>
      <c r="H58" s="4" t="inlineStr">
        <is>
          <t>运输阶段输入</t>
        </is>
      </c>
      <c r="I58" s="4" t="inlineStr">
        <is>
          <t>物流记录</t>
        </is>
      </c>
      <c r="J58" s="4" t="inlineStr">
        <is>
          <t>EU</t>
        </is>
      </c>
    </row>
    <row r="59">
      <c r="A59" s="4" t="inlineStr">
        <is>
          <t>F. 运输与生命周期</t>
        </is>
      </c>
      <c r="B59" s="4" t="inlineStr">
        <is>
          <t>end_of_life_credit_kgco2</t>
        </is>
      </c>
      <c r="C59" s="4" t="inlineStr">
        <is>
          <t>终端回收信用</t>
        </is>
      </c>
      <c r="D59" s="4" t="inlineStr">
        <is>
          <t>end-of-life credit</t>
        </is>
      </c>
      <c r="E59" s="4" t="inlineStr">
        <is>
          <t>kgCO2e/pack</t>
        </is>
      </c>
      <c r="F59" s="6" t="n">
        <v>-15</v>
      </c>
      <c r="G59" s="7" t="n">
        <v>-15</v>
      </c>
      <c r="H59" s="4" t="inlineStr">
        <is>
          <t>允许负值表示信用</t>
        </is>
      </c>
      <c r="I59" s="4" t="inlineStr">
        <is>
          <t>回收方案/方法学</t>
        </is>
      </c>
      <c r="J59" s="4" t="inlineStr">
        <is>
          <t>EU</t>
        </is>
      </c>
    </row>
    <row r="60">
      <c r="A60" s="4" t="inlineStr">
        <is>
          <t>G. 再生材料</t>
        </is>
      </c>
      <c r="B60" s="4" t="inlineStr">
        <is>
          <t>recycled_cobalt_pct</t>
        </is>
      </c>
      <c r="C60" s="4" t="inlineStr">
        <is>
          <t>再生钴占比</t>
        </is>
      </c>
      <c r="D60" s="4" t="inlineStr">
        <is>
          <t>recycled cobalt share</t>
        </is>
      </c>
      <c r="E60" s="4" t="inlineStr">
        <is>
          <t>%</t>
        </is>
      </c>
      <c r="F60" s="8" t="n">
        <v>0</v>
      </c>
      <c r="G60" s="9" t="n">
        <v>0</v>
      </c>
      <c r="H60" s="4" t="inlineStr">
        <is>
          <t>LFP 常为 0</t>
        </is>
      </c>
      <c r="I60" s="4" t="inlineStr">
        <is>
          <t>质量平衡/供应商声明</t>
        </is>
      </c>
      <c r="J60" s="4" t="inlineStr">
        <is>
          <t>EU</t>
        </is>
      </c>
    </row>
    <row r="61">
      <c r="A61" s="4" t="inlineStr">
        <is>
          <t>G. 再生材料</t>
        </is>
      </c>
      <c r="B61" s="4" t="inlineStr">
        <is>
          <t>recycled_lithium_pct</t>
        </is>
      </c>
      <c r="C61" s="4" t="inlineStr">
        <is>
          <t>再生锂占比</t>
        </is>
      </c>
      <c r="D61" s="4" t="inlineStr">
        <is>
          <t>recycled lithium share</t>
        </is>
      </c>
      <c r="E61" s="4" t="inlineStr">
        <is>
          <t>%</t>
        </is>
      </c>
      <c r="F61" s="8" t="n">
        <v>0.08</v>
      </c>
      <c r="G61" s="9" t="n">
        <v>0.08</v>
      </c>
      <c r="H61" s="4" t="inlineStr">
        <is>
          <t>欧盟电池法重点项</t>
        </is>
      </c>
      <c r="I61" s="4" t="inlineStr">
        <is>
          <t>质量平衡/供应商声明</t>
        </is>
      </c>
      <c r="J61" s="4" t="inlineStr">
        <is>
          <t>EU</t>
        </is>
      </c>
    </row>
    <row r="62">
      <c r="A62" s="4" t="inlineStr">
        <is>
          <t>G. 再生材料</t>
        </is>
      </c>
      <c r="B62" s="4" t="inlineStr">
        <is>
          <t>recycled_nickel_pct</t>
        </is>
      </c>
      <c r="C62" s="4" t="inlineStr">
        <is>
          <t>再生镍占比</t>
        </is>
      </c>
      <c r="D62" s="4" t="inlineStr">
        <is>
          <t>recycled nickel share</t>
        </is>
      </c>
      <c r="E62" s="4" t="inlineStr">
        <is>
          <t>%</t>
        </is>
      </c>
      <c r="F62" s="8" t="n">
        <v>0</v>
      </c>
      <c r="G62" s="9" t="n">
        <v>0</v>
      </c>
      <c r="H62" s="4" t="inlineStr">
        <is>
          <t>LFP 常为 0</t>
        </is>
      </c>
      <c r="I62" s="4" t="inlineStr">
        <is>
          <t>质量平衡/供应商声明</t>
        </is>
      </c>
      <c r="J62" s="4" t="inlineStr">
        <is>
          <t>EU</t>
        </is>
      </c>
    </row>
    <row r="63">
      <c r="A63" s="4" t="inlineStr">
        <is>
          <t>G. 再生材料</t>
        </is>
      </c>
      <c r="B63" s="4" t="inlineStr">
        <is>
          <t>recycled_lead_pct</t>
        </is>
      </c>
      <c r="C63" s="4" t="inlineStr">
        <is>
          <t>再生铅占比</t>
        </is>
      </c>
      <c r="D63" s="4" t="inlineStr">
        <is>
          <t>recycled lead share</t>
        </is>
      </c>
      <c r="E63" s="4" t="inlineStr">
        <is>
          <t>%</t>
        </is>
      </c>
      <c r="F63" s="8" t="n">
        <v>0</v>
      </c>
      <c r="G63" s="9" t="n">
        <v>0</v>
      </c>
      <c r="H63" s="4" t="inlineStr">
        <is>
          <t>动力电池场景通常较低</t>
        </is>
      </c>
      <c r="I63" s="4" t="inlineStr">
        <is>
          <t>质量平衡/供应商声明</t>
        </is>
      </c>
      <c r="J63" s="4" t="inlineStr">
        <is>
          <t>EU</t>
        </is>
      </c>
    </row>
    <row r="64">
      <c r="A64" s="4" t="inlineStr">
        <is>
          <t>G. 再生材料</t>
        </is>
      </c>
      <c r="B64" s="4" t="inlineStr">
        <is>
          <t>recycled_aluminium_pct</t>
        </is>
      </c>
      <c r="C64" s="4" t="inlineStr">
        <is>
          <t>再生铝占比</t>
        </is>
      </c>
      <c r="D64" s="4" t="inlineStr">
        <is>
          <t>recycled aluminium share</t>
        </is>
      </c>
      <c r="E64" s="4" t="inlineStr">
        <is>
          <t>%</t>
        </is>
      </c>
      <c r="F64" s="8" t="n">
        <v>0.18</v>
      </c>
      <c r="G64" s="9" t="n">
        <v>0.18</v>
      </c>
      <c r="H64" s="4" t="inlineStr">
        <is>
          <t>有助于上游减碳叙事</t>
        </is>
      </c>
      <c r="I64" s="4" t="inlineStr">
        <is>
          <t>质量平衡/供应商声明</t>
        </is>
      </c>
      <c r="J64" s="4" t="inlineStr">
        <is>
          <t>EU+CBAM</t>
        </is>
      </c>
    </row>
    <row r="65">
      <c r="A65" s="4" t="inlineStr">
        <is>
          <t>G. 再生材料</t>
        </is>
      </c>
      <c r="B65" s="4" t="inlineStr">
        <is>
          <t>recycled_steel_pct</t>
        </is>
      </c>
      <c r="C65" s="4" t="inlineStr">
        <is>
          <t>再生钢占比</t>
        </is>
      </c>
      <c r="D65" s="4" t="inlineStr">
        <is>
          <t>recycled steel share</t>
        </is>
      </c>
      <c r="E65" s="4" t="inlineStr">
        <is>
          <t>%</t>
        </is>
      </c>
      <c r="F65" s="8" t="n">
        <v>0.22</v>
      </c>
      <c r="G65" s="9" t="n">
        <v>0.22</v>
      </c>
      <c r="H65" s="4" t="inlineStr">
        <is>
          <t>有助于上游减碳叙事</t>
        </is>
      </c>
      <c r="I65" s="4" t="inlineStr">
        <is>
          <t>质量平衡/供应商声明</t>
        </is>
      </c>
      <c r="J65" s="4" t="inlineStr">
        <is>
          <t>EU+CBAM</t>
        </is>
      </c>
    </row>
    <row r="66">
      <c r="A66" s="4" t="inlineStr">
        <is>
          <t>H. CBAM 影子输入</t>
        </is>
      </c>
      <c r="B66" s="4" t="inlineStr">
        <is>
          <t>aluminium_supplier_installation_id</t>
        </is>
      </c>
      <c r="C66" s="4" t="inlineStr">
        <is>
          <t>铝材供应商安装点 ID</t>
        </is>
      </c>
      <c r="D66" s="4" t="inlineStr">
        <is>
          <t>aluminium installation ID</t>
        </is>
      </c>
      <c r="E66" s="4" t="inlineStr">
        <is>
          <t>文本</t>
        </is>
      </c>
      <c r="F66" s="4" t="inlineStr">
        <is>
          <t>AL-SUP-001</t>
        </is>
      </c>
      <c r="G66" s="5" t="inlineStr">
        <is>
          <t>AL-SUP-001</t>
        </is>
      </c>
      <c r="H66" s="4" t="inlineStr">
        <is>
          <t>借鉴 CBAM installation 逻辑</t>
        </is>
      </c>
      <c r="I66" s="4" t="inlineStr">
        <is>
          <t>供应商安装点主数据</t>
        </is>
      </c>
      <c r="J66" s="4" t="inlineStr">
        <is>
          <t>CBAM</t>
        </is>
      </c>
    </row>
    <row r="67">
      <c r="A67" s="4" t="inlineStr">
        <is>
          <t>H. CBAM 影子输入</t>
        </is>
      </c>
      <c r="B67" s="4" t="inlineStr">
        <is>
          <t>steel_supplier_installation_id</t>
        </is>
      </c>
      <c r="C67" s="4" t="inlineStr">
        <is>
          <t>钢材供应商安装点 ID</t>
        </is>
      </c>
      <c r="D67" s="4" t="inlineStr">
        <is>
          <t>steel installation ID</t>
        </is>
      </c>
      <c r="E67" s="4" t="inlineStr">
        <is>
          <t>文本</t>
        </is>
      </c>
      <c r="F67" s="4" t="inlineStr">
        <is>
          <t>ST-SUP-001</t>
        </is>
      </c>
      <c r="G67" s="5" t="inlineStr">
        <is>
          <t>ST-SUP-001</t>
        </is>
      </c>
      <c r="H67" s="4" t="inlineStr">
        <is>
          <t>借鉴 CBAM installation 逻辑</t>
        </is>
      </c>
      <c r="I67" s="4" t="inlineStr">
        <is>
          <t>供应商安装点主数据</t>
        </is>
      </c>
      <c r="J67" s="4" t="inlineStr">
        <is>
          <t>CBAM</t>
        </is>
      </c>
    </row>
    <row r="68">
      <c r="A68" s="4" t="inlineStr">
        <is>
          <t>H. CBAM 影子输入</t>
        </is>
      </c>
      <c r="B68" s="4" t="inlineStr">
        <is>
          <t>upstream_reporting_period</t>
        </is>
      </c>
      <c r="C68" s="4" t="inlineStr">
        <is>
          <t>上游材料报告期</t>
        </is>
      </c>
      <c r="D68" s="4" t="inlineStr">
        <is>
          <t>upstream reporting period</t>
        </is>
      </c>
      <c r="E68" s="4" t="inlineStr">
        <is>
          <t>文本</t>
        </is>
      </c>
      <c r="F68" s="4" t="inlineStr">
        <is>
          <t>2025Q4</t>
        </is>
      </c>
      <c r="G68" s="5" t="inlineStr">
        <is>
          <t>2025Q4</t>
        </is>
      </c>
      <c r="H68" s="4" t="inlineStr">
        <is>
          <t>最好与产品报告期对齐</t>
        </is>
      </c>
      <c r="I68" s="4" t="inlineStr">
        <is>
          <t>供应商报告期记录</t>
        </is>
      </c>
      <c r="J68" s="4" t="inlineStr">
        <is>
          <t>CBAM</t>
        </is>
      </c>
    </row>
    <row r="69">
      <c r="A69" s="4" t="inlineStr">
        <is>
          <t>H. CBAM 影子输入</t>
        </is>
      </c>
      <c r="B69" s="4" t="inlineStr">
        <is>
          <t>aluminium_verifier_status</t>
        </is>
      </c>
      <c r="C69" s="4" t="inlineStr">
        <is>
          <t>铝材核验状态</t>
        </is>
      </c>
      <c r="D69" s="4" t="inlineStr">
        <is>
          <t>aluminium verifier status</t>
        </is>
      </c>
      <c r="E69" s="4" t="inlineStr">
        <is>
          <t>文本</t>
        </is>
      </c>
      <c r="F69" s="4" t="inlineStr">
        <is>
          <t>已核验</t>
        </is>
      </c>
      <c r="G69" s="5" t="inlineStr">
        <is>
          <t>已核验</t>
        </is>
      </c>
      <c r="H69" s="4" t="inlineStr">
        <is>
          <t>体现 verifier discipline</t>
        </is>
      </c>
      <c r="I69" s="4" t="inlineStr">
        <is>
          <t>供应商核验报告</t>
        </is>
      </c>
      <c r="J69" s="4" t="inlineStr">
        <is>
          <t>CBAM</t>
        </is>
      </c>
    </row>
    <row r="70">
      <c r="A70" s="4" t="inlineStr">
        <is>
          <t>H. CBAM 影子输入</t>
        </is>
      </c>
      <c r="B70" s="4" t="inlineStr">
        <is>
          <t>steel_verifier_status</t>
        </is>
      </c>
      <c r="C70" s="4" t="inlineStr">
        <is>
          <t>钢材核验状态</t>
        </is>
      </c>
      <c r="D70" s="4" t="inlineStr">
        <is>
          <t>steel verifier status</t>
        </is>
      </c>
      <c r="E70" s="4" t="inlineStr">
        <is>
          <t>文本</t>
        </is>
      </c>
      <c r="F70" s="4" t="inlineStr">
        <is>
          <t>已核验</t>
        </is>
      </c>
      <c r="G70" s="5" t="inlineStr">
        <is>
          <t>已核验</t>
        </is>
      </c>
      <c r="H70" s="4" t="inlineStr">
        <is>
          <t>体现 verifier discipline</t>
        </is>
      </c>
      <c r="I70" s="4" t="inlineStr">
        <is>
          <t>供应商核验报告</t>
        </is>
      </c>
      <c r="J70" s="4" t="inlineStr">
        <is>
          <t>CBAM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J70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8" customWidth="1" min="4" max="4"/>
    <col width="16" customWidth="1" min="5" max="5"/>
    <col width="18" customWidth="1" min="6" max="6"/>
    <col width="18" customWidth="1" min="7" max="7"/>
    <col width="12" customWidth="1" min="8" max="8"/>
  </cols>
  <sheetData>
    <row r="1">
      <c r="A1" s="1" t="inlineStr">
        <is>
          <t>02_欧盟电池法输出（全部自动公式）</t>
        </is>
      </c>
    </row>
    <row r="2">
      <c r="A2" s="2" t="inlineStr">
        <is>
          <t>说明：本 Sheet 不允许手动输入，只展示系统自动生成的结果。</t>
        </is>
      </c>
    </row>
    <row r="3">
      <c r="A3" s="3" t="inlineStr">
        <is>
          <t>模块</t>
        </is>
      </c>
      <c r="B3" s="3" t="inlineStr">
        <is>
          <t>输出字段</t>
        </is>
      </c>
      <c r="C3" s="3" t="inlineStr">
        <is>
          <t>单位</t>
        </is>
      </c>
      <c r="D3" s="3" t="inlineStr">
        <is>
          <t>自动输出值</t>
        </is>
      </c>
      <c r="E3" s="3" t="inlineStr">
        <is>
          <t>证据状态</t>
        </is>
      </c>
      <c r="F3" s="3" t="inlineStr">
        <is>
          <t>核验层级</t>
        </is>
      </c>
      <c r="G3" s="3" t="inlineStr">
        <is>
          <t>访问层级</t>
        </is>
      </c>
      <c r="H3" s="3" t="inlineStr">
        <is>
          <t>当前状态</t>
        </is>
      </c>
    </row>
    <row r="4">
      <c r="A4" s="4" t="inlineStr">
        <is>
          <t>基本信息</t>
        </is>
      </c>
      <c r="B4" s="4" t="inlineStr">
        <is>
          <t>制造商名称</t>
        </is>
      </c>
      <c r="C4" s="4" t="inlineStr">
        <is>
          <t>文本</t>
        </is>
      </c>
      <c r="D4" s="10">
        <f>IFERROR(INDEX('09_EU中间表'!$D:$D,MATCH(B4,'09_EU中间表'!$B:$B,0)),"")</f>
        <v/>
      </c>
      <c r="E4" s="10">
        <f>IFERROR(INDEX('05_证据映射过程'!$E:$E,MATCH(B4,'05_证据映射过程'!$B:$B,0)),"不适用/默认")</f>
        <v/>
      </c>
      <c r="F4" s="10">
        <f>IFERROR(INDEX('06_核验映射过程'!$D:$D,MATCH(B4,'06_核验映射过程'!$B:$B,0)),"默认")</f>
        <v/>
      </c>
      <c r="G4" s="10">
        <f>IFERROR(INDEX('07_权限映射过程'!$D:$D,MATCH(B4,'07_权限映射过程'!$B:$B,0)),"默认")</f>
        <v/>
      </c>
      <c r="H4" s="10">
        <f>IF(D4="","待生成","已生成")</f>
        <v/>
      </c>
    </row>
    <row r="5">
      <c r="A5" s="4" t="inlineStr">
        <is>
          <t>基本信息</t>
        </is>
      </c>
      <c r="B5" s="4" t="inlineStr">
        <is>
          <t>演示产品名称</t>
        </is>
      </c>
      <c r="C5" s="4" t="inlineStr">
        <is>
          <t>文本</t>
        </is>
      </c>
      <c r="D5" s="10">
        <f>IFERROR(INDEX('09_EU中间表'!$D:$D,MATCH(B5,'09_EU中间表'!$B:$B,0)),"")</f>
        <v/>
      </c>
      <c r="E5" s="10">
        <f>IFERROR(INDEX('05_证据映射过程'!$E:$E,MATCH(B5,'05_证据映射过程'!$B:$B,0)),"不适用/默认")</f>
        <v/>
      </c>
      <c r="F5" s="10">
        <f>IFERROR(INDEX('06_核验映射过程'!$D:$D,MATCH(B5,'06_核验映射过程'!$B:$B,0)),"默认")</f>
        <v/>
      </c>
      <c r="G5" s="10">
        <f>IFERROR(INDEX('07_权限映射过程'!$D:$D,MATCH(B5,'07_权限映射过程'!$B:$B,0)),"默认")</f>
        <v/>
      </c>
      <c r="H5" s="10">
        <f>IF(D5="","待生成","已生成")</f>
        <v/>
      </c>
    </row>
    <row r="6">
      <c r="A6" s="4" t="inlineStr">
        <is>
          <t>基本信息</t>
        </is>
      </c>
      <c r="B6" s="4" t="inlineStr">
        <is>
          <t>电池型号</t>
        </is>
      </c>
      <c r="C6" s="4" t="inlineStr">
        <is>
          <t>文本</t>
        </is>
      </c>
      <c r="D6" s="10">
        <f>IFERROR(INDEX('09_EU中间表'!$D:$D,MATCH(B6,'09_EU中间表'!$B:$B,0)),"")</f>
        <v/>
      </c>
      <c r="E6" s="10">
        <f>IFERROR(INDEX('05_证据映射过程'!$E:$E,MATCH(B6,'05_证据映射过程'!$B:$B,0)),"不适用/默认")</f>
        <v/>
      </c>
      <c r="F6" s="10">
        <f>IFERROR(INDEX('06_核验映射过程'!$D:$D,MATCH(B6,'06_核验映射过程'!$B:$B,0)),"默认")</f>
        <v/>
      </c>
      <c r="G6" s="10">
        <f>IFERROR(INDEX('07_权限映射过程'!$D:$D,MATCH(B6,'07_权限映射过程'!$B:$B,0)),"默认")</f>
        <v/>
      </c>
      <c r="H6" s="10">
        <f>IF(D6="","待生成","已生成")</f>
        <v/>
      </c>
    </row>
    <row r="7">
      <c r="A7" s="4" t="inlineStr">
        <is>
          <t>基本信息</t>
        </is>
      </c>
      <c r="B7" s="4" t="inlineStr">
        <is>
          <t>产品类别</t>
        </is>
      </c>
      <c r="C7" s="4" t="inlineStr">
        <is>
          <t>文本</t>
        </is>
      </c>
      <c r="D7" s="10">
        <f>IFERROR(INDEX('09_EU中间表'!$D:$D,MATCH(B7,'09_EU中间表'!$B:$B,0)),"")</f>
        <v/>
      </c>
      <c r="E7" s="10">
        <f>IFERROR(INDEX('05_证据映射过程'!$E:$E,MATCH(B7,'05_证据映射过程'!$B:$B,0)),"不适用/默认")</f>
        <v/>
      </c>
      <c r="F7" s="10">
        <f>IFERROR(INDEX('06_核验映射过程'!$D:$D,MATCH(B7,'06_核验映射过程'!$B:$B,0)),"默认")</f>
        <v/>
      </c>
      <c r="G7" s="10">
        <f>IFERROR(INDEX('07_权限映射过程'!$D:$D,MATCH(B7,'07_权限映射过程'!$B:$B,0)),"默认")</f>
        <v/>
      </c>
      <c r="H7" s="10">
        <f>IF(D7="","待生成","已生成")</f>
        <v/>
      </c>
    </row>
    <row r="8">
      <c r="A8" s="4" t="inlineStr">
        <is>
          <t>基本信息</t>
        </is>
      </c>
      <c r="B8" s="4" t="inlineStr">
        <is>
          <t>化学体系</t>
        </is>
      </c>
      <c r="C8" s="4" t="inlineStr">
        <is>
          <t>文本</t>
        </is>
      </c>
      <c r="D8" s="10">
        <f>IFERROR(INDEX('09_EU中间表'!$D:$D,MATCH(B8,'09_EU中间表'!$B:$B,0)),"")</f>
        <v/>
      </c>
      <c r="E8" s="10">
        <f>IFERROR(INDEX('05_证据映射过程'!$E:$E,MATCH(B8,'05_证据映射过程'!$B:$B,0)),"不适用/默认")</f>
        <v/>
      </c>
      <c r="F8" s="10">
        <f>IFERROR(INDEX('06_核验映射过程'!$D:$D,MATCH(B8,'06_核验映射过程'!$B:$B,0)),"默认")</f>
        <v/>
      </c>
      <c r="G8" s="10">
        <f>IFERROR(INDEX('07_权限映射过程'!$D:$D,MATCH(B8,'07_权限映射过程'!$B:$B,0)),"默认")</f>
        <v/>
      </c>
      <c r="H8" s="10">
        <f>IF(D8="","待生成","已生成")</f>
        <v/>
      </c>
    </row>
    <row r="9">
      <c r="A9" s="4" t="inlineStr">
        <is>
          <t>基本信息</t>
        </is>
      </c>
      <c r="B9" s="4" t="inlineStr">
        <is>
          <t>制造工厂代码</t>
        </is>
      </c>
      <c r="C9" s="4" t="inlineStr">
        <is>
          <t>文本</t>
        </is>
      </c>
      <c r="D9" s="10">
        <f>IFERROR(INDEX('09_EU中间表'!$D:$D,MATCH(B9,'09_EU中间表'!$B:$B,0)),"")</f>
        <v/>
      </c>
      <c r="E9" s="10">
        <f>IFERROR(INDEX('05_证据映射过程'!$E:$E,MATCH(B9,'05_证据映射过程'!$B:$B,0)),"不适用/默认")</f>
        <v/>
      </c>
      <c r="F9" s="10">
        <f>IFERROR(INDEX('06_核验映射过程'!$D:$D,MATCH(B9,'06_核验映射过程'!$B:$B,0)),"默认")</f>
        <v/>
      </c>
      <c r="G9" s="10">
        <f>IFERROR(INDEX('07_权限映射过程'!$D:$D,MATCH(B9,'07_权限映射过程'!$B:$B,0)),"默认")</f>
        <v/>
      </c>
      <c r="H9" s="10">
        <f>IF(D9="","待生成","已生成")</f>
        <v/>
      </c>
    </row>
    <row r="10">
      <c r="A10" s="4" t="inlineStr">
        <is>
          <t>基本信息</t>
        </is>
      </c>
      <c r="B10" s="4" t="inlineStr">
        <is>
          <t>制造工厂名称</t>
        </is>
      </c>
      <c r="C10" s="4" t="inlineStr">
        <is>
          <t>文本</t>
        </is>
      </c>
      <c r="D10" s="10">
        <f>IFERROR(INDEX('09_EU中间表'!$D:$D,MATCH(B10,'09_EU中间表'!$B:$B,0)),"")</f>
        <v/>
      </c>
      <c r="E10" s="10">
        <f>IFERROR(INDEX('05_证据映射过程'!$E:$E,MATCH(B10,'05_证据映射过程'!$B:$B,0)),"不适用/默认")</f>
        <v/>
      </c>
      <c r="F10" s="10">
        <f>IFERROR(INDEX('06_核验映射过程'!$D:$D,MATCH(B10,'06_核验映射过程'!$B:$B,0)),"默认")</f>
        <v/>
      </c>
      <c r="G10" s="10">
        <f>IFERROR(INDEX('07_权限映射过程'!$D:$D,MATCH(B10,'07_权限映射过程'!$B:$B,0)),"默认")</f>
        <v/>
      </c>
      <c r="H10" s="10">
        <f>IF(D10="","待生成","已生成")</f>
        <v/>
      </c>
    </row>
    <row r="11">
      <c r="A11" s="4" t="inlineStr">
        <is>
          <t>基本信息</t>
        </is>
      </c>
      <c r="B11" s="4" t="inlineStr">
        <is>
          <t>报告期</t>
        </is>
      </c>
      <c r="C11" s="4" t="inlineStr">
        <is>
          <t>文本</t>
        </is>
      </c>
      <c r="D11" s="10">
        <f>IFERROR(INDEX('09_EU中间表'!$D:$D,MATCH(B11,'09_EU中间表'!$B:$B,0)),"")</f>
        <v/>
      </c>
      <c r="E11" s="10">
        <f>IFERROR(INDEX('05_证据映射过程'!$E:$E,MATCH(B11,'05_证据映射过程'!$B:$B,0)),"不适用/默认")</f>
        <v/>
      </c>
      <c r="F11" s="10">
        <f>IFERROR(INDEX('06_核验映射过程'!$D:$D,MATCH(B11,'06_核验映射过程'!$B:$B,0)),"默认")</f>
        <v/>
      </c>
      <c r="G11" s="10">
        <f>IFERROR(INDEX('07_权限映射过程'!$D:$D,MATCH(B11,'07_权限映射过程'!$B:$B,0)),"默认")</f>
        <v/>
      </c>
      <c r="H11" s="10">
        <f>IF(D11="","待生成","已生成")</f>
        <v/>
      </c>
    </row>
    <row r="12">
      <c r="A12" s="4" t="inlineStr">
        <is>
          <t>产品参数</t>
        </is>
      </c>
      <c r="B12" s="4" t="inlineStr">
        <is>
          <t>额定容量(kWh)</t>
        </is>
      </c>
      <c r="C12" s="4" t="inlineStr">
        <is>
          <t>kWh</t>
        </is>
      </c>
      <c r="D12" s="10">
        <f>IFERROR(INDEX('09_EU中间表'!$D:$D,MATCH(B12,'09_EU中间表'!$B:$B,0)),"")</f>
        <v/>
      </c>
      <c r="E12" s="10">
        <f>IFERROR(INDEX('05_证据映射过程'!$E:$E,MATCH(B12,'05_证据映射过程'!$B:$B,0)),"不适用/默认")</f>
        <v/>
      </c>
      <c r="F12" s="10">
        <f>IFERROR(INDEX('06_核验映射过程'!$D:$D,MATCH(B12,'06_核验映射过程'!$B:$B,0)),"默认")</f>
        <v/>
      </c>
      <c r="G12" s="10">
        <f>IFERROR(INDEX('07_权限映射过程'!$D:$D,MATCH(B12,'07_权限映射过程'!$B:$B,0)),"默认")</f>
        <v/>
      </c>
      <c r="H12" s="10">
        <f>IF(D12="","待生成","已生成")</f>
        <v/>
      </c>
    </row>
    <row r="13">
      <c r="A13" s="4" t="inlineStr">
        <is>
          <t>产品参数</t>
        </is>
      </c>
      <c r="B13" s="4" t="inlineStr">
        <is>
          <t>标称电压(V)</t>
        </is>
      </c>
      <c r="C13" s="4" t="inlineStr">
        <is>
          <t>V</t>
        </is>
      </c>
      <c r="D13" s="10">
        <f>IFERROR(INDEX('09_EU中间表'!$D:$D,MATCH(B13,'09_EU中间表'!$B:$B,0)),"")</f>
        <v/>
      </c>
      <c r="E13" s="10">
        <f>IFERROR(INDEX('05_证据映射过程'!$E:$E,MATCH(B13,'05_证据映射过程'!$B:$B,0)),"不适用/默认")</f>
        <v/>
      </c>
      <c r="F13" s="10">
        <f>IFERROR(INDEX('06_核验映射过程'!$D:$D,MATCH(B13,'06_核验映射过程'!$B:$B,0)),"默认")</f>
        <v/>
      </c>
      <c r="G13" s="10">
        <f>IFERROR(INDEX('07_权限映射过程'!$D:$D,MATCH(B13,'07_权限映射过程'!$B:$B,0)),"默认")</f>
        <v/>
      </c>
      <c r="H13" s="10">
        <f>IF(D13="","待生成","已生成")</f>
        <v/>
      </c>
    </row>
    <row r="14">
      <c r="A14" s="4" t="inlineStr">
        <is>
          <t>产品参数</t>
        </is>
      </c>
      <c r="B14" s="4" t="inlineStr">
        <is>
          <t>循环寿命(cycles)</t>
        </is>
      </c>
      <c r="C14" s="4" t="inlineStr">
        <is>
          <t>cycles</t>
        </is>
      </c>
      <c r="D14" s="10">
        <f>IFERROR(INDEX('09_EU中间表'!$D:$D,MATCH(B14,'09_EU中间表'!$B:$B,0)),"")</f>
        <v/>
      </c>
      <c r="E14" s="10">
        <f>IFERROR(INDEX('05_证据映射过程'!$E:$E,MATCH(B14,'05_证据映射过程'!$B:$B,0)),"不适用/默认")</f>
        <v/>
      </c>
      <c r="F14" s="10">
        <f>IFERROR(INDEX('06_核验映射过程'!$D:$D,MATCH(B14,'06_核验映射过程'!$B:$B,0)),"默认")</f>
        <v/>
      </c>
      <c r="G14" s="10">
        <f>IFERROR(INDEX('07_权限映射过程'!$D:$D,MATCH(B14,'07_权限映射过程'!$B:$B,0)),"默认")</f>
        <v/>
      </c>
      <c r="H14" s="10">
        <f>IF(D14="","待生成","已生成")</f>
        <v/>
      </c>
    </row>
    <row r="15">
      <c r="A15" s="4" t="inlineStr">
        <is>
          <t>碳足迹</t>
        </is>
      </c>
      <c r="B15" s="4" t="inlineStr">
        <is>
          <t>声明总碳足迹(kgCO2e/pack)</t>
        </is>
      </c>
      <c r="C15" s="4" t="inlineStr">
        <is>
          <t>kgCO2e/pack</t>
        </is>
      </c>
      <c r="D15" s="10">
        <f>IFERROR(INDEX('09_EU中间表'!$D:$D,MATCH(B15,'09_EU中间表'!$B:$B,0)),"")</f>
        <v/>
      </c>
      <c r="E15" s="10">
        <f>IFERROR(INDEX('05_证据映射过程'!$E:$E,MATCH(B15,'05_证据映射过程'!$B:$B,0)),"不适用/默认")</f>
        <v/>
      </c>
      <c r="F15" s="10">
        <f>IFERROR(INDEX('06_核验映射过程'!$D:$D,MATCH(B15,'06_核验映射过程'!$B:$B,0)),"默认")</f>
        <v/>
      </c>
      <c r="G15" s="10">
        <f>IFERROR(INDEX('07_权限映射过程'!$D:$D,MATCH(B15,'07_权限映射过程'!$B:$B,0)),"默认")</f>
        <v/>
      </c>
      <c r="H15" s="10">
        <f>IF(D15="","待生成","已生成")</f>
        <v/>
      </c>
    </row>
    <row r="16">
      <c r="A16" s="4" t="inlineStr">
        <is>
          <t>碳足迹</t>
        </is>
      </c>
      <c r="B16" s="4" t="inlineStr">
        <is>
          <t>声明总碳足迹(kgCO2e/kWh)</t>
        </is>
      </c>
      <c r="C16" s="4" t="inlineStr">
        <is>
          <t>kgCO2e/kWh</t>
        </is>
      </c>
      <c r="D16" s="10">
        <f>IFERROR(INDEX('09_EU中间表'!$D:$D,MATCH(B16,'09_EU中间表'!$B:$B,0)),"")</f>
        <v/>
      </c>
      <c r="E16" s="10">
        <f>IFERROR(INDEX('05_证据映射过程'!$E:$E,MATCH(B16,'05_证据映射过程'!$B:$B,0)),"不适用/默认")</f>
        <v/>
      </c>
      <c r="F16" s="10">
        <f>IFERROR(INDEX('06_核验映射过程'!$D:$D,MATCH(B16,'06_核验映射过程'!$B:$B,0)),"默认")</f>
        <v/>
      </c>
      <c r="G16" s="10">
        <f>IFERROR(INDEX('07_权限映射过程'!$D:$D,MATCH(B16,'07_权限映射过程'!$B:$B,0)),"默认")</f>
        <v/>
      </c>
      <c r="H16" s="10">
        <f>IF(D16="","待生成","已生成")</f>
        <v/>
      </c>
    </row>
    <row r="17">
      <c r="A17" s="4" t="inlineStr">
        <is>
          <t>碳足迹</t>
        </is>
      </c>
      <c r="B17" s="4" t="inlineStr">
        <is>
          <t>原材料阶段(kgCO2e/kWh)</t>
        </is>
      </c>
      <c r="C17" s="4" t="inlineStr">
        <is>
          <t>kgCO2e/kWh</t>
        </is>
      </c>
      <c r="D17" s="10">
        <f>IFERROR(INDEX('09_EU中间表'!$D:$D,MATCH(B17,'09_EU中间表'!$B:$B,0)),"")</f>
        <v/>
      </c>
      <c r="E17" s="10">
        <f>IFERROR(INDEX('05_证据映射过程'!$E:$E,MATCH(B17,'05_证据映射过程'!$B:$B,0)),"不适用/默认")</f>
        <v/>
      </c>
      <c r="F17" s="10">
        <f>IFERROR(INDEX('06_核验映射过程'!$D:$D,MATCH(B17,'06_核验映射过程'!$B:$B,0)),"默认")</f>
        <v/>
      </c>
      <c r="G17" s="10">
        <f>IFERROR(INDEX('07_权限映射过程'!$D:$D,MATCH(B17,'07_权限映射过程'!$B:$B,0)),"默认")</f>
        <v/>
      </c>
      <c r="H17" s="10">
        <f>IF(D17="","待生成","已生成")</f>
        <v/>
      </c>
    </row>
    <row r="18">
      <c r="A18" s="4" t="inlineStr">
        <is>
          <t>碳足迹</t>
        </is>
      </c>
      <c r="B18" s="4" t="inlineStr">
        <is>
          <t>制造阶段(kgCO2e/kWh)</t>
        </is>
      </c>
      <c r="C18" s="4" t="inlineStr">
        <is>
          <t>kgCO2e/kWh</t>
        </is>
      </c>
      <c r="D18" s="10">
        <f>IFERROR(INDEX('09_EU中间表'!$D:$D,MATCH(B18,'09_EU中间表'!$B:$B,0)),"")</f>
        <v/>
      </c>
      <c r="E18" s="10">
        <f>IFERROR(INDEX('05_证据映射过程'!$E:$E,MATCH(B18,'05_证据映射过程'!$B:$B,0)),"不适用/默认")</f>
        <v/>
      </c>
      <c r="F18" s="10">
        <f>IFERROR(INDEX('06_核验映射过程'!$D:$D,MATCH(B18,'06_核验映射过程'!$B:$B,0)),"默认")</f>
        <v/>
      </c>
      <c r="G18" s="10">
        <f>IFERROR(INDEX('07_权限映射过程'!$D:$D,MATCH(B18,'07_权限映射过程'!$B:$B,0)),"默认")</f>
        <v/>
      </c>
      <c r="H18" s="10">
        <f>IF(D18="","待生成","已生成")</f>
        <v/>
      </c>
    </row>
    <row r="19">
      <c r="A19" s="4" t="inlineStr">
        <is>
          <t>碳足迹</t>
        </is>
      </c>
      <c r="B19" s="4" t="inlineStr">
        <is>
          <t>运输阶段(kgCO2e/kWh)</t>
        </is>
      </c>
      <c r="C19" s="4" t="inlineStr">
        <is>
          <t>kgCO2e/kWh</t>
        </is>
      </c>
      <c r="D19" s="10">
        <f>IFERROR(INDEX('09_EU中间表'!$D:$D,MATCH(B19,'09_EU中间表'!$B:$B,0)),"")</f>
        <v/>
      </c>
      <c r="E19" s="10">
        <f>IFERROR(INDEX('05_证据映射过程'!$E:$E,MATCH(B19,'05_证据映射过程'!$B:$B,0)),"不适用/默认")</f>
        <v/>
      </c>
      <c r="F19" s="10">
        <f>IFERROR(INDEX('06_核验映射过程'!$D:$D,MATCH(B19,'06_核验映射过程'!$B:$B,0)),"默认")</f>
        <v/>
      </c>
      <c r="G19" s="10">
        <f>IFERROR(INDEX('07_权限映射过程'!$D:$D,MATCH(B19,'07_权限映射过程'!$B:$B,0)),"默认")</f>
        <v/>
      </c>
      <c r="H19" s="10">
        <f>IF(D19="","待生成","已生成")</f>
        <v/>
      </c>
    </row>
    <row r="20">
      <c r="A20" s="4" t="inlineStr">
        <is>
          <t>碳足迹</t>
        </is>
      </c>
      <c r="B20" s="4" t="inlineStr">
        <is>
          <t>终端回收阶段(kgCO2e/kWh)</t>
        </is>
      </c>
      <c r="C20" s="4" t="inlineStr">
        <is>
          <t>kgCO2e/kWh</t>
        </is>
      </c>
      <c r="D20" s="10">
        <f>IFERROR(INDEX('09_EU中间表'!$D:$D,MATCH(B20,'09_EU中间表'!$B:$B,0)),"")</f>
        <v/>
      </c>
      <c r="E20" s="10">
        <f>IFERROR(INDEX('05_证据映射过程'!$E:$E,MATCH(B20,'05_证据映射过程'!$B:$B,0)),"不适用/默认")</f>
        <v/>
      </c>
      <c r="F20" s="10">
        <f>IFERROR(INDEX('06_核验映射过程'!$D:$D,MATCH(B20,'06_核验映射过程'!$B:$B,0)),"默认")</f>
        <v/>
      </c>
      <c r="G20" s="10">
        <f>IFERROR(INDEX('07_权限映射过程'!$D:$D,MATCH(B20,'07_权限映射过程'!$B:$B,0)),"默认")</f>
        <v/>
      </c>
      <c r="H20" s="10">
        <f>IF(D20="","待生成","已生成")</f>
        <v/>
      </c>
    </row>
    <row r="21">
      <c r="A21" s="4" t="inlineStr">
        <is>
          <t>再生材料</t>
        </is>
      </c>
      <c r="B21" s="4" t="inlineStr">
        <is>
          <t>再生锂占比</t>
        </is>
      </c>
      <c r="C21" s="4" t="inlineStr">
        <is>
          <t>%</t>
        </is>
      </c>
      <c r="D21" s="10">
        <f>IFERROR(INDEX('09_EU中间表'!$D:$D,MATCH(B21,'09_EU中间表'!$B:$B,0)),"")</f>
        <v/>
      </c>
      <c r="E21" s="10">
        <f>IFERROR(INDEX('05_证据映射过程'!$E:$E,MATCH(B21,'05_证据映射过程'!$B:$B,0)),"不适用/默认")</f>
        <v/>
      </c>
      <c r="F21" s="10">
        <f>IFERROR(INDEX('06_核验映射过程'!$D:$D,MATCH(B21,'06_核验映射过程'!$B:$B,0)),"默认")</f>
        <v/>
      </c>
      <c r="G21" s="10">
        <f>IFERROR(INDEX('07_权限映射过程'!$D:$D,MATCH(B21,'07_权限映射过程'!$B:$B,0)),"默认")</f>
        <v/>
      </c>
      <c r="H21" s="10">
        <f>IF(D21="","待生成","已生成")</f>
        <v/>
      </c>
    </row>
    <row r="22">
      <c r="A22" s="4" t="inlineStr">
        <is>
          <t>再生材料</t>
        </is>
      </c>
      <c r="B22" s="4" t="inlineStr">
        <is>
          <t>再生钴占比</t>
        </is>
      </c>
      <c r="C22" s="4" t="inlineStr">
        <is>
          <t>%</t>
        </is>
      </c>
      <c r="D22" s="10">
        <f>IFERROR(INDEX('09_EU中间表'!$D:$D,MATCH(B22,'09_EU中间表'!$B:$B,0)),"")</f>
        <v/>
      </c>
      <c r="E22" s="10">
        <f>IFERROR(INDEX('05_证据映射过程'!$E:$E,MATCH(B22,'05_证据映射过程'!$B:$B,0)),"不适用/默认")</f>
        <v/>
      </c>
      <c r="F22" s="10">
        <f>IFERROR(INDEX('06_核验映射过程'!$D:$D,MATCH(B22,'06_核验映射过程'!$B:$B,0)),"默认")</f>
        <v/>
      </c>
      <c r="G22" s="10">
        <f>IFERROR(INDEX('07_权限映射过程'!$D:$D,MATCH(B22,'07_权限映射过程'!$B:$B,0)),"默认")</f>
        <v/>
      </c>
      <c r="H22" s="10">
        <f>IF(D22="","待生成","已生成")</f>
        <v/>
      </c>
    </row>
    <row r="23">
      <c r="A23" s="4" t="inlineStr">
        <is>
          <t>再生材料</t>
        </is>
      </c>
      <c r="B23" s="4" t="inlineStr">
        <is>
          <t>再生镍占比</t>
        </is>
      </c>
      <c r="C23" s="4" t="inlineStr">
        <is>
          <t>%</t>
        </is>
      </c>
      <c r="D23" s="10">
        <f>IFERROR(INDEX('09_EU中间表'!$D:$D,MATCH(B23,'09_EU中间表'!$B:$B,0)),"")</f>
        <v/>
      </c>
      <c r="E23" s="10">
        <f>IFERROR(INDEX('05_证据映射过程'!$E:$E,MATCH(B23,'05_证据映射过程'!$B:$B,0)),"不适用/默认")</f>
        <v/>
      </c>
      <c r="F23" s="10">
        <f>IFERROR(INDEX('06_核验映射过程'!$D:$D,MATCH(B23,'06_核验映射过程'!$B:$B,0)),"默认")</f>
        <v/>
      </c>
      <c r="G23" s="10">
        <f>IFERROR(INDEX('07_权限映射过程'!$D:$D,MATCH(B23,'07_权限映射过程'!$B:$B,0)),"默认")</f>
        <v/>
      </c>
      <c r="H23" s="10">
        <f>IF(D23="","待生成","已生成")</f>
        <v/>
      </c>
    </row>
    <row r="24">
      <c r="A24" s="4" t="inlineStr">
        <is>
          <t>再生材料</t>
        </is>
      </c>
      <c r="B24" s="4" t="inlineStr">
        <is>
          <t>再生铅占比</t>
        </is>
      </c>
      <c r="C24" s="4" t="inlineStr">
        <is>
          <t>%</t>
        </is>
      </c>
      <c r="D24" s="10">
        <f>IFERROR(INDEX('09_EU中间表'!$D:$D,MATCH(B24,'09_EU中间表'!$B:$B,0)),"")</f>
        <v/>
      </c>
      <c r="E24" s="10">
        <f>IFERROR(INDEX('05_证据映射过程'!$E:$E,MATCH(B24,'05_证据映射过程'!$B:$B,0)),"不适用/默认")</f>
        <v/>
      </c>
      <c r="F24" s="10">
        <f>IFERROR(INDEX('06_核验映射过程'!$D:$D,MATCH(B24,'06_核验映射过程'!$B:$B,0)),"默认")</f>
        <v/>
      </c>
      <c r="G24" s="10">
        <f>IFERROR(INDEX('07_权限映射过程'!$D:$D,MATCH(B24,'07_权限映射过程'!$B:$B,0)),"默认")</f>
        <v/>
      </c>
      <c r="H24" s="10">
        <f>IF(D24="","待生成","已生成")</f>
        <v/>
      </c>
    </row>
    <row r="25">
      <c r="A25" s="4" t="inlineStr">
        <is>
          <t>尽调与追溯</t>
        </is>
      </c>
      <c r="B25" s="4" t="inlineStr">
        <is>
          <t>尽调政策链接</t>
        </is>
      </c>
      <c r="C25" s="4" t="inlineStr">
        <is>
          <t>文本</t>
        </is>
      </c>
      <c r="D25" s="10">
        <f>IFERROR(INDEX('09_EU中间表'!$D:$D,MATCH(B25,'09_EU中间表'!$B:$B,0)),"")</f>
        <v/>
      </c>
      <c r="E25" s="10">
        <f>IFERROR(INDEX('05_证据映射过程'!$E:$E,MATCH(B25,'05_证据映射过程'!$B:$B,0)),"不适用/默认")</f>
        <v/>
      </c>
      <c r="F25" s="10">
        <f>IFERROR(INDEX('06_核验映射过程'!$D:$D,MATCH(B25,'06_核验映射过程'!$B:$B,0)),"默认")</f>
        <v/>
      </c>
      <c r="G25" s="10">
        <f>IFERROR(INDEX('07_权限映射过程'!$D:$D,MATCH(B25,'07_权限映射过程'!$B:$B,0)),"默认")</f>
        <v/>
      </c>
      <c r="H25" s="10">
        <f>IF(D25="","待生成","已生成")</f>
        <v/>
      </c>
    </row>
    <row r="26">
      <c r="A26" s="4" t="inlineStr">
        <is>
          <t>尽调与追溯</t>
        </is>
      </c>
      <c r="B26" s="4" t="inlineStr">
        <is>
          <t>关键原材料追溯范围</t>
        </is>
      </c>
      <c r="C26" s="4" t="inlineStr">
        <is>
          <t>文本</t>
        </is>
      </c>
      <c r="D26" s="10">
        <f>IFERROR(INDEX('09_EU中间表'!$D:$D,MATCH(B26,'09_EU中间表'!$B:$B,0)),"")</f>
        <v/>
      </c>
      <c r="E26" s="10">
        <f>IFERROR(INDEX('05_证据映射过程'!$E:$E,MATCH(B26,'05_证据映射过程'!$B:$B,0)),"不适用/默认")</f>
        <v/>
      </c>
      <c r="F26" s="10">
        <f>IFERROR(INDEX('06_核验映射过程'!$D:$D,MATCH(B26,'06_核验映射过程'!$B:$B,0)),"默认")</f>
        <v/>
      </c>
      <c r="G26" s="10">
        <f>IFERROR(INDEX('07_权限映射过程'!$D:$D,MATCH(B26,'07_权限映射过程'!$B:$B,0)),"默认")</f>
        <v/>
      </c>
      <c r="H26" s="10">
        <f>IF(D26="","待生成","已生成")</f>
        <v/>
      </c>
    </row>
    <row r="27">
      <c r="A27" s="4" t="inlineStr">
        <is>
          <t>尽调与追溯</t>
        </is>
      </c>
      <c r="B27" s="4" t="inlineStr">
        <is>
          <t>供应链追溯覆盖率</t>
        </is>
      </c>
      <c r="C27" s="4" t="inlineStr">
        <is>
          <t>%</t>
        </is>
      </c>
      <c r="D27" s="10">
        <f>IFERROR(INDEX('09_EU中间表'!$D:$D,MATCH(B27,'09_EU中间表'!$B:$B,0)),"")</f>
        <v/>
      </c>
      <c r="E27" s="10">
        <f>IFERROR(INDEX('05_证据映射过程'!$E:$E,MATCH(B27,'05_证据映射过程'!$B:$B,0)),"不适用/默认")</f>
        <v/>
      </c>
      <c r="F27" s="10">
        <f>IFERROR(INDEX('06_核验映射过程'!$D:$D,MATCH(B27,'06_核验映射过程'!$B:$B,0)),"默认")</f>
        <v/>
      </c>
      <c r="G27" s="10">
        <f>IFERROR(INDEX('07_权限映射过程'!$D:$D,MATCH(B27,'07_权限映射过程'!$B:$B,0)),"默认")</f>
        <v/>
      </c>
      <c r="H27" s="10">
        <f>IF(D27="","待生成","已生成")</f>
        <v/>
      </c>
    </row>
    <row r="28">
      <c r="A28" s="4" t="inlineStr">
        <is>
          <t>文件与护照</t>
        </is>
      </c>
      <c r="B28" s="4" t="inlineStr">
        <is>
          <t>产品碳足迹研究底稿状态</t>
        </is>
      </c>
      <c r="C28" s="4" t="inlineStr">
        <is>
          <t>文本</t>
        </is>
      </c>
      <c r="D28" s="10">
        <f>IFERROR(INDEX('09_EU中间表'!$D:$D,MATCH(B28,'09_EU中间表'!$B:$B,0)),"")</f>
        <v/>
      </c>
      <c r="E28" s="10">
        <f>IFERROR(INDEX('05_证据映射过程'!$E:$E,MATCH(B28,'05_证据映射过程'!$B:$B,0)),"不适用/默认")</f>
        <v/>
      </c>
      <c r="F28" s="10">
        <f>IFERROR(INDEX('06_核验映射过程'!$D:$D,MATCH(B28,'06_核验映射过程'!$B:$B,0)),"默认")</f>
        <v/>
      </c>
      <c r="G28" s="10">
        <f>IFERROR(INDEX('07_权限映射过程'!$D:$D,MATCH(B28,'07_权限映射过程'!$B:$B,0)),"默认")</f>
        <v/>
      </c>
      <c r="H28" s="10">
        <f>IF(D28="","待生成","已生成")</f>
        <v/>
      </c>
    </row>
    <row r="29">
      <c r="A29" s="4" t="inlineStr">
        <is>
          <t>文件与护照</t>
        </is>
      </c>
      <c r="B29" s="4" t="inlineStr">
        <is>
          <t>测试报告状态</t>
        </is>
      </c>
      <c r="C29" s="4" t="inlineStr">
        <is>
          <t>文本</t>
        </is>
      </c>
      <c r="D29" s="10">
        <f>IFERROR(INDEX('09_EU中间表'!$D:$D,MATCH(B29,'09_EU中间表'!$B:$B,0)),"")</f>
        <v/>
      </c>
      <c r="E29" s="10">
        <f>IFERROR(INDEX('05_证据映射过程'!$E:$E,MATCH(B29,'05_证据映射过程'!$B:$B,0)),"不适用/默认")</f>
        <v/>
      </c>
      <c r="F29" s="10">
        <f>IFERROR(INDEX('06_核验映射过程'!$D:$D,MATCH(B29,'06_核验映射过程'!$B:$B,0)),"默认")</f>
        <v/>
      </c>
      <c r="G29" s="10">
        <f>IFERROR(INDEX('07_权限映射过程'!$D:$D,MATCH(B29,'07_权限映射过程'!$B:$B,0)),"默认")</f>
        <v/>
      </c>
      <c r="H29" s="10">
        <f>IF(D29="","待生成","已生成")</f>
        <v/>
      </c>
    </row>
    <row r="30">
      <c r="A30" s="4" t="inlineStr">
        <is>
          <t>文件与护照</t>
        </is>
      </c>
      <c r="B30" s="4" t="inlineStr">
        <is>
          <t>技术文档状态</t>
        </is>
      </c>
      <c r="C30" s="4" t="inlineStr">
        <is>
          <t>文本</t>
        </is>
      </c>
      <c r="D30" s="10">
        <f>IFERROR(INDEX('09_EU中间表'!$D:$D,MATCH(B30,'09_EU中间表'!$B:$B,0)),"")</f>
        <v/>
      </c>
      <c r="E30" s="10">
        <f>IFERROR(INDEX('05_证据映射过程'!$E:$E,MATCH(B30,'05_证据映射过程'!$B:$B,0)),"不适用/默认")</f>
        <v/>
      </c>
      <c r="F30" s="10">
        <f>IFERROR(INDEX('06_核验映射过程'!$D:$D,MATCH(B30,'06_核验映射过程'!$B:$B,0)),"默认")</f>
        <v/>
      </c>
      <c r="G30" s="10">
        <f>IFERROR(INDEX('07_权限映射过程'!$D:$D,MATCH(B30,'07_权限映射过程'!$B:$B,0)),"默认")</f>
        <v/>
      </c>
      <c r="H30" s="10">
        <f>IF(D30="","待生成","已生成")</f>
        <v/>
      </c>
    </row>
    <row r="31">
      <c r="A31" s="4" t="inlineStr">
        <is>
          <t>文件与护照</t>
        </is>
      </c>
      <c r="B31" s="4" t="inlineStr">
        <is>
          <t>护照对象 ID</t>
        </is>
      </c>
      <c r="C31" s="4" t="inlineStr">
        <is>
          <t>文本</t>
        </is>
      </c>
      <c r="D31" s="10">
        <f>IFERROR(INDEX('09_EU中间表'!$D:$D,MATCH(B31,'09_EU中间表'!$B:$B,0)),"")</f>
        <v/>
      </c>
      <c r="E31" s="10">
        <f>IFERROR(INDEX('05_证据映射过程'!$E:$E,MATCH(B31,'05_证据映射过程'!$B:$B,0)),"不适用/默认")</f>
        <v/>
      </c>
      <c r="F31" s="10">
        <f>IFERROR(INDEX('06_核验映射过程'!$D:$D,MATCH(B31,'06_核验映射过程'!$B:$B,0)),"默认")</f>
        <v/>
      </c>
      <c r="G31" s="10">
        <f>IFERROR(INDEX('07_权限映射过程'!$D:$D,MATCH(B31,'07_权限映射过程'!$B:$B,0)),"默认")</f>
        <v/>
      </c>
      <c r="H31" s="10">
        <f>IF(D31="","待生成","已生成")</f>
        <v/>
      </c>
    </row>
    <row r="32">
      <c r="A32" s="4" t="inlineStr">
        <is>
          <t>文件与护照</t>
        </is>
      </c>
      <c r="B32" s="4" t="inlineStr">
        <is>
          <t>个体电池编码前缀</t>
        </is>
      </c>
      <c r="C32" s="4" t="inlineStr">
        <is>
          <t>文本</t>
        </is>
      </c>
      <c r="D32" s="10">
        <f>IFERROR(INDEX('09_EU中间表'!$D:$D,MATCH(B32,'09_EU中间表'!$B:$B,0)),"")</f>
        <v/>
      </c>
      <c r="E32" s="10">
        <f>IFERROR(INDEX('05_证据映射过程'!$E:$E,MATCH(B32,'05_证据映射过程'!$B:$B,0)),"不适用/默认")</f>
        <v/>
      </c>
      <c r="F32" s="10">
        <f>IFERROR(INDEX('06_核验映射过程'!$D:$D,MATCH(B32,'06_核验映射过程'!$B:$B,0)),"默认")</f>
        <v/>
      </c>
      <c r="G32" s="10">
        <f>IFERROR(INDEX('07_权限映射过程'!$D:$D,MATCH(B32,'07_权限映射过程'!$B:$B,0)),"默认")</f>
        <v/>
      </c>
      <c r="H32" s="10">
        <f>IF(D32="","待生成","已生成")</f>
        <v/>
      </c>
    </row>
    <row r="33">
      <c r="A33" s="4" t="inlineStr">
        <is>
          <t>综合状态</t>
        </is>
      </c>
      <c r="B33" s="4" t="inlineStr">
        <is>
          <t>EU 输出完备度</t>
        </is>
      </c>
      <c r="C33" s="4" t="inlineStr">
        <is>
          <t>%</t>
        </is>
      </c>
      <c r="D33" s="10">
        <f>IFERROR(INDEX('09_EU中间表'!$D:$D,MATCH(B33,'09_EU中间表'!$B:$B,0)),"")</f>
        <v/>
      </c>
      <c r="E33" s="10">
        <f>IFERROR(INDEX('05_证据映射过程'!$E:$E,MATCH(B33,'05_证据映射过程'!$B:$B,0)),"不适用/默认")</f>
        <v/>
      </c>
      <c r="F33" s="10">
        <f>IFERROR(INDEX('06_核验映射过程'!$D:$D,MATCH(B33,'06_核验映射过程'!$B:$B,0)),"默认")</f>
        <v/>
      </c>
      <c r="G33" s="10">
        <f>IFERROR(INDEX('07_权限映射过程'!$D:$D,MATCH(B33,'07_权限映射过程'!$B:$B,0)),"默认")</f>
        <v/>
      </c>
      <c r="H33" s="10">
        <f>IF(D33="","待生成","已生成")</f>
        <v/>
      </c>
    </row>
    <row r="34">
      <c r="A34" s="4" t="inlineStr">
        <is>
          <t>综合状态</t>
        </is>
      </c>
      <c r="B34" s="4" t="inlineStr">
        <is>
          <t>EU 输出结论</t>
        </is>
      </c>
      <c r="C34" s="4" t="inlineStr">
        <is>
          <t>文本</t>
        </is>
      </c>
      <c r="D34" s="10">
        <f>IFERROR(INDEX('09_EU中间表'!$D:$D,MATCH(B34,'09_EU中间表'!$B:$B,0)),"")</f>
        <v/>
      </c>
      <c r="E34" s="10">
        <f>IFERROR(INDEX('05_证据映射过程'!$E:$E,MATCH(B34,'05_证据映射过程'!$B:$B,0)),"不适用/默认")</f>
        <v/>
      </c>
      <c r="F34" s="10">
        <f>IFERROR(INDEX('06_核验映射过程'!$D:$D,MATCH(B34,'06_核验映射过程'!$B:$B,0)),"默认")</f>
        <v/>
      </c>
      <c r="G34" s="10">
        <f>IFERROR(INDEX('07_权限映射过程'!$D:$D,MATCH(B34,'07_权限映射过程'!$B:$B,0)),"默认")</f>
        <v/>
      </c>
      <c r="H34" s="10">
        <f>IF(D34="","待生成","已生成")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H34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8" customWidth="1" min="4" max="4"/>
    <col width="16" customWidth="1" min="5" max="5"/>
    <col width="18" customWidth="1" min="6" max="6"/>
    <col width="18" customWidth="1" min="7" max="7"/>
    <col width="12" customWidth="1" min="8" max="8"/>
  </cols>
  <sheetData>
    <row r="1">
      <c r="A1" s="1" t="inlineStr">
        <is>
          <t>03_CBAM输出（全部自动公式）</t>
        </is>
      </c>
    </row>
    <row r="2">
      <c r="A2" s="2" t="inlineStr">
        <is>
          <t>说明：本 Sheet 不允许手动输入，只展示系统自动生成的结果。</t>
        </is>
      </c>
    </row>
    <row r="3">
      <c r="A3" s="3" t="inlineStr">
        <is>
          <t>模块</t>
        </is>
      </c>
      <c r="B3" s="3" t="inlineStr">
        <is>
          <t>输出字段</t>
        </is>
      </c>
      <c r="C3" s="3" t="inlineStr">
        <is>
          <t>单位</t>
        </is>
      </c>
      <c r="D3" s="3" t="inlineStr">
        <is>
          <t>自动输出值</t>
        </is>
      </c>
      <c r="E3" s="3" t="inlineStr">
        <is>
          <t>证据状态</t>
        </is>
      </c>
      <c r="F3" s="3" t="inlineStr">
        <is>
          <t>核验层级</t>
        </is>
      </c>
      <c r="G3" s="3" t="inlineStr">
        <is>
          <t>访问层级</t>
        </is>
      </c>
      <c r="H3" s="3" t="inlineStr">
        <is>
          <t>当前状态</t>
        </is>
      </c>
    </row>
    <row r="4">
      <c r="A4" s="4" t="inlineStr">
        <is>
          <t>基础锚点</t>
        </is>
      </c>
      <c r="B4" s="4" t="inlineStr">
        <is>
          <t>电池型号</t>
        </is>
      </c>
      <c r="C4" s="4" t="inlineStr">
        <is>
          <t>文本</t>
        </is>
      </c>
      <c r="D4" s="10">
        <f>IFERROR(INDEX('10_CBAM中间表'!$D:$D,MATCH(B4,'10_CBAM中间表'!$B:$B,0)),"")</f>
        <v/>
      </c>
      <c r="E4" s="10">
        <f>IFERROR(INDEX('05_证据映射过程'!$E:$E,MATCH(B4,'05_证据映射过程'!$B:$B,0)),"不适用/默认")</f>
        <v/>
      </c>
      <c r="F4" s="10">
        <f>IFERROR(INDEX('06_核验映射过程'!$D:$D,MATCH(B4,'06_核验映射过程'!$B:$B,0)),"默认")</f>
        <v/>
      </c>
      <c r="G4" s="10">
        <f>IFERROR(INDEX('07_权限映射过程'!$D:$D,MATCH(B4,'07_权限映射过程'!$B:$B,0)),"默认")</f>
        <v/>
      </c>
      <c r="H4" s="10">
        <f>IF(D4="","待生成","已生成")</f>
        <v/>
      </c>
    </row>
    <row r="5">
      <c r="A5" s="4" t="inlineStr">
        <is>
          <t>基础锚点</t>
        </is>
      </c>
      <c r="B5" s="4" t="inlineStr">
        <is>
          <t>产品报告期</t>
        </is>
      </c>
      <c r="C5" s="4" t="inlineStr">
        <is>
          <t>文本</t>
        </is>
      </c>
      <c r="D5" s="10">
        <f>IFERROR(INDEX('10_CBAM中间表'!$D:$D,MATCH(B5,'10_CBAM中间表'!$B:$B,0)),"")</f>
        <v/>
      </c>
      <c r="E5" s="10">
        <f>IFERROR(INDEX('05_证据映射过程'!$E:$E,MATCH(B5,'05_证据映射过程'!$B:$B,0)),"不适用/默认")</f>
        <v/>
      </c>
      <c r="F5" s="10">
        <f>IFERROR(INDEX('06_核验映射过程'!$D:$D,MATCH(B5,'06_核验映射过程'!$B:$B,0)),"默认")</f>
        <v/>
      </c>
      <c r="G5" s="10">
        <f>IFERROR(INDEX('07_权限映射过程'!$D:$D,MATCH(B5,'07_权限映射过程'!$B:$B,0)),"默认")</f>
        <v/>
      </c>
      <c r="H5" s="10">
        <f>IF(D5="","待生成","已生成")</f>
        <v/>
      </c>
    </row>
    <row r="6">
      <c r="A6" s="4" t="inlineStr">
        <is>
          <t>基础锚点</t>
        </is>
      </c>
      <c r="B6" s="4" t="inlineStr">
        <is>
          <t>上游材料报告期</t>
        </is>
      </c>
      <c r="C6" s="4" t="inlineStr">
        <is>
          <t>文本</t>
        </is>
      </c>
      <c r="D6" s="10">
        <f>IFERROR(INDEX('10_CBAM中间表'!$D:$D,MATCH(B6,'10_CBAM中间表'!$B:$B,0)),"")</f>
        <v/>
      </c>
      <c r="E6" s="10">
        <f>IFERROR(INDEX('05_证据映射过程'!$E:$E,MATCH(B6,'05_证据映射过程'!$B:$B,0)),"不适用/默认")</f>
        <v/>
      </c>
      <c r="F6" s="10">
        <f>IFERROR(INDEX('06_核验映射过程'!$D:$D,MATCH(B6,'06_核验映射过程'!$B:$B,0)),"默认")</f>
        <v/>
      </c>
      <c r="G6" s="10">
        <f>IFERROR(INDEX('07_权限映射过程'!$D:$D,MATCH(B6,'07_权限映射过程'!$B:$B,0)),"默认")</f>
        <v/>
      </c>
      <c r="H6" s="10">
        <f>IF(D6="","待生成","已生成")</f>
        <v/>
      </c>
    </row>
    <row r="7">
      <c r="A7" s="4" t="inlineStr">
        <is>
          <t>铝材模块</t>
        </is>
      </c>
      <c r="B7" s="4" t="inlineStr">
        <is>
          <t>铝材供应商安装点 ID</t>
        </is>
      </c>
      <c r="C7" s="4" t="inlineStr">
        <is>
          <t>文本</t>
        </is>
      </c>
      <c r="D7" s="10">
        <f>IFERROR(INDEX('10_CBAM中间表'!$D:$D,MATCH(B7,'10_CBAM中间表'!$B:$B,0)),"")</f>
        <v/>
      </c>
      <c r="E7" s="10">
        <f>IFERROR(INDEX('05_证据映射过程'!$E:$E,MATCH(B7,'05_证据映射过程'!$B:$B,0)),"不适用/默认")</f>
        <v/>
      </c>
      <c r="F7" s="10">
        <f>IFERROR(INDEX('06_核验映射过程'!$D:$D,MATCH(B7,'06_核验映射过程'!$B:$B,0)),"默认")</f>
        <v/>
      </c>
      <c r="G7" s="10">
        <f>IFERROR(INDEX('07_权限映射过程'!$D:$D,MATCH(B7,'07_权限映射过程'!$B:$B,0)),"默认")</f>
        <v/>
      </c>
      <c r="H7" s="10">
        <f>IF(D7="","待生成","已生成")</f>
        <v/>
      </c>
    </row>
    <row r="8">
      <c r="A8" s="4" t="inlineStr">
        <is>
          <t>铝材模块</t>
        </is>
      </c>
      <c r="B8" s="4" t="inlineStr">
        <is>
          <t>铝材质量(kg)</t>
        </is>
      </c>
      <c r="C8" s="4" t="inlineStr">
        <is>
          <t>kg</t>
        </is>
      </c>
      <c r="D8" s="10">
        <f>IFERROR(INDEX('10_CBAM中间表'!$D:$D,MATCH(B8,'10_CBAM中间表'!$B:$B,0)),"")</f>
        <v/>
      </c>
      <c r="E8" s="10">
        <f>IFERROR(INDEX('05_证据映射过程'!$E:$E,MATCH(B8,'05_证据映射过程'!$B:$B,0)),"不适用/默认")</f>
        <v/>
      </c>
      <c r="F8" s="10">
        <f>IFERROR(INDEX('06_核验映射过程'!$D:$D,MATCH(B8,'06_核验映射过程'!$B:$B,0)),"默认")</f>
        <v/>
      </c>
      <c r="G8" s="10">
        <f>IFERROR(INDEX('07_权限映射过程'!$D:$D,MATCH(B8,'07_权限映射过程'!$B:$B,0)),"默认")</f>
        <v/>
      </c>
      <c r="H8" s="10">
        <f>IF(D8="","待生成","已生成")</f>
        <v/>
      </c>
    </row>
    <row r="9">
      <c r="A9" s="4" t="inlineStr">
        <is>
          <t>铝材模块</t>
        </is>
      </c>
      <c r="B9" s="4" t="inlineStr">
        <is>
          <t>铝材直接排放因子(kgCO2e/kg)</t>
        </is>
      </c>
      <c r="C9" s="4" t="inlineStr">
        <is>
          <t>kgCO2e/kg</t>
        </is>
      </c>
      <c r="D9" s="10">
        <f>IFERROR(INDEX('10_CBAM中间表'!$D:$D,MATCH(B9,'10_CBAM中间表'!$B:$B,0)),"")</f>
        <v/>
      </c>
      <c r="E9" s="10">
        <f>IFERROR(INDEX('05_证据映射过程'!$E:$E,MATCH(B9,'05_证据映射过程'!$B:$B,0)),"不适用/默认")</f>
        <v/>
      </c>
      <c r="F9" s="10">
        <f>IFERROR(INDEX('06_核验映射过程'!$D:$D,MATCH(B9,'06_核验映射过程'!$B:$B,0)),"默认")</f>
        <v/>
      </c>
      <c r="G9" s="10">
        <f>IFERROR(INDEX('07_权限映射过程'!$D:$D,MATCH(B9,'07_权限映射过程'!$B:$B,0)),"默认")</f>
        <v/>
      </c>
      <c r="H9" s="10">
        <f>IF(D9="","待生成","已生成")</f>
        <v/>
      </c>
    </row>
    <row r="10">
      <c r="A10" s="4" t="inlineStr">
        <is>
          <t>铝材模块</t>
        </is>
      </c>
      <c r="B10" s="4" t="inlineStr">
        <is>
          <t>铝材间接排放因子(kgCO2e/kg)</t>
        </is>
      </c>
      <c r="C10" s="4" t="inlineStr">
        <is>
          <t>kgCO2e/kg</t>
        </is>
      </c>
      <c r="D10" s="10">
        <f>IFERROR(INDEX('10_CBAM中间表'!$D:$D,MATCH(B10,'10_CBAM中间表'!$B:$B,0)),"")</f>
        <v/>
      </c>
      <c r="E10" s="10">
        <f>IFERROR(INDEX('05_证据映射过程'!$E:$E,MATCH(B10,'05_证据映射过程'!$B:$B,0)),"不适用/默认")</f>
        <v/>
      </c>
      <c r="F10" s="10">
        <f>IFERROR(INDEX('06_核验映射过程'!$D:$D,MATCH(B10,'06_核验映射过程'!$B:$B,0)),"默认")</f>
        <v/>
      </c>
      <c r="G10" s="10">
        <f>IFERROR(INDEX('07_权限映射过程'!$D:$D,MATCH(B10,'07_权限映射过程'!$B:$B,0)),"默认")</f>
        <v/>
      </c>
      <c r="H10" s="10">
        <f>IF(D10="","待生成","已生成")</f>
        <v/>
      </c>
    </row>
    <row r="11">
      <c r="A11" s="4" t="inlineStr">
        <is>
          <t>铝材模块</t>
        </is>
      </c>
      <c r="B11" s="4" t="inlineStr">
        <is>
          <t>铝材总嵌入排放(kgCO2e/pack)</t>
        </is>
      </c>
      <c r="C11" s="4" t="inlineStr">
        <is>
          <t>kgCO2e/pack</t>
        </is>
      </c>
      <c r="D11" s="10">
        <f>IFERROR(INDEX('10_CBAM中间表'!$D:$D,MATCH(B11,'10_CBAM中间表'!$B:$B,0)),"")</f>
        <v/>
      </c>
      <c r="E11" s="10">
        <f>IFERROR(INDEX('05_证据映射过程'!$E:$E,MATCH(B11,'05_证据映射过程'!$B:$B,0)),"不适用/默认")</f>
        <v/>
      </c>
      <c r="F11" s="10">
        <f>IFERROR(INDEX('06_核验映射过程'!$D:$D,MATCH(B11,'06_核验映射过程'!$B:$B,0)),"默认")</f>
        <v/>
      </c>
      <c r="G11" s="10">
        <f>IFERROR(INDEX('07_权限映射过程'!$D:$D,MATCH(B11,'07_权限映射过程'!$B:$B,0)),"默认")</f>
        <v/>
      </c>
      <c r="H11" s="10">
        <f>IF(D11="","待生成","已生成")</f>
        <v/>
      </c>
    </row>
    <row r="12">
      <c r="A12" s="4" t="inlineStr">
        <is>
          <t>铝材模块</t>
        </is>
      </c>
      <c r="B12" s="4" t="inlineStr">
        <is>
          <t>铝材核验状态</t>
        </is>
      </c>
      <c r="C12" s="4" t="inlineStr">
        <is>
          <t>文本</t>
        </is>
      </c>
      <c r="D12" s="10">
        <f>IFERROR(INDEX('10_CBAM中间表'!$D:$D,MATCH(B12,'10_CBAM中间表'!$B:$B,0)),"")</f>
        <v/>
      </c>
      <c r="E12" s="10">
        <f>IFERROR(INDEX('05_证据映射过程'!$E:$E,MATCH(B12,'05_证据映射过程'!$B:$B,0)),"不适用/默认")</f>
        <v/>
      </c>
      <c r="F12" s="10">
        <f>IFERROR(INDEX('06_核验映射过程'!$D:$D,MATCH(B12,'06_核验映射过程'!$B:$B,0)),"默认")</f>
        <v/>
      </c>
      <c r="G12" s="10">
        <f>IFERROR(INDEX('07_权限映射过程'!$D:$D,MATCH(B12,'07_权限映射过程'!$B:$B,0)),"默认")</f>
        <v/>
      </c>
      <c r="H12" s="10">
        <f>IF(D12="","待生成","已生成")</f>
        <v/>
      </c>
    </row>
    <row r="13">
      <c r="A13" s="4" t="inlineStr">
        <is>
          <t>钢材模块</t>
        </is>
      </c>
      <c r="B13" s="4" t="inlineStr">
        <is>
          <t>钢材供应商安装点 ID</t>
        </is>
      </c>
      <c r="C13" s="4" t="inlineStr">
        <is>
          <t>文本</t>
        </is>
      </c>
      <c r="D13" s="10">
        <f>IFERROR(INDEX('10_CBAM中间表'!$D:$D,MATCH(B13,'10_CBAM中间表'!$B:$B,0)),"")</f>
        <v/>
      </c>
      <c r="E13" s="10">
        <f>IFERROR(INDEX('05_证据映射过程'!$E:$E,MATCH(B13,'05_证据映射过程'!$B:$B,0)),"不适用/默认")</f>
        <v/>
      </c>
      <c r="F13" s="10">
        <f>IFERROR(INDEX('06_核验映射过程'!$D:$D,MATCH(B13,'06_核验映射过程'!$B:$B,0)),"默认")</f>
        <v/>
      </c>
      <c r="G13" s="10">
        <f>IFERROR(INDEX('07_权限映射过程'!$D:$D,MATCH(B13,'07_权限映射过程'!$B:$B,0)),"默认")</f>
        <v/>
      </c>
      <c r="H13" s="10">
        <f>IF(D13="","待生成","已生成")</f>
        <v/>
      </c>
    </row>
    <row r="14">
      <c r="A14" s="4" t="inlineStr">
        <is>
          <t>钢材模块</t>
        </is>
      </c>
      <c r="B14" s="4" t="inlineStr">
        <is>
          <t>钢材质量(kg)</t>
        </is>
      </c>
      <c r="C14" s="4" t="inlineStr">
        <is>
          <t>kg</t>
        </is>
      </c>
      <c r="D14" s="10">
        <f>IFERROR(INDEX('10_CBAM中间表'!$D:$D,MATCH(B14,'10_CBAM中间表'!$B:$B,0)),"")</f>
        <v/>
      </c>
      <c r="E14" s="10">
        <f>IFERROR(INDEX('05_证据映射过程'!$E:$E,MATCH(B14,'05_证据映射过程'!$B:$B,0)),"不适用/默认")</f>
        <v/>
      </c>
      <c r="F14" s="10">
        <f>IFERROR(INDEX('06_核验映射过程'!$D:$D,MATCH(B14,'06_核验映射过程'!$B:$B,0)),"默认")</f>
        <v/>
      </c>
      <c r="G14" s="10">
        <f>IFERROR(INDEX('07_权限映射过程'!$D:$D,MATCH(B14,'07_权限映射过程'!$B:$B,0)),"默认")</f>
        <v/>
      </c>
      <c r="H14" s="10">
        <f>IF(D14="","待生成","已生成")</f>
        <v/>
      </c>
    </row>
    <row r="15">
      <c r="A15" s="4" t="inlineStr">
        <is>
          <t>钢材模块</t>
        </is>
      </c>
      <c r="B15" s="4" t="inlineStr">
        <is>
          <t>钢材直接排放因子(kgCO2e/kg)</t>
        </is>
      </c>
      <c r="C15" s="4" t="inlineStr">
        <is>
          <t>kgCO2e/kg</t>
        </is>
      </c>
      <c r="D15" s="10">
        <f>IFERROR(INDEX('10_CBAM中间表'!$D:$D,MATCH(B15,'10_CBAM中间表'!$B:$B,0)),"")</f>
        <v/>
      </c>
      <c r="E15" s="10">
        <f>IFERROR(INDEX('05_证据映射过程'!$E:$E,MATCH(B15,'05_证据映射过程'!$B:$B,0)),"不适用/默认")</f>
        <v/>
      </c>
      <c r="F15" s="10">
        <f>IFERROR(INDEX('06_核验映射过程'!$D:$D,MATCH(B15,'06_核验映射过程'!$B:$B,0)),"默认")</f>
        <v/>
      </c>
      <c r="G15" s="10">
        <f>IFERROR(INDEX('07_权限映射过程'!$D:$D,MATCH(B15,'07_权限映射过程'!$B:$B,0)),"默认")</f>
        <v/>
      </c>
      <c r="H15" s="10">
        <f>IF(D15="","待生成","已生成")</f>
        <v/>
      </c>
    </row>
    <row r="16">
      <c r="A16" s="4" t="inlineStr">
        <is>
          <t>钢材模块</t>
        </is>
      </c>
      <c r="B16" s="4" t="inlineStr">
        <is>
          <t>钢材间接排放因子(kgCO2e/kg)</t>
        </is>
      </c>
      <c r="C16" s="4" t="inlineStr">
        <is>
          <t>kgCO2e/kg</t>
        </is>
      </c>
      <c r="D16" s="10">
        <f>IFERROR(INDEX('10_CBAM中间表'!$D:$D,MATCH(B16,'10_CBAM中间表'!$B:$B,0)),"")</f>
        <v/>
      </c>
      <c r="E16" s="10">
        <f>IFERROR(INDEX('05_证据映射过程'!$E:$E,MATCH(B16,'05_证据映射过程'!$B:$B,0)),"不适用/默认")</f>
        <v/>
      </c>
      <c r="F16" s="10">
        <f>IFERROR(INDEX('06_核验映射过程'!$D:$D,MATCH(B16,'06_核验映射过程'!$B:$B,0)),"默认")</f>
        <v/>
      </c>
      <c r="G16" s="10">
        <f>IFERROR(INDEX('07_权限映射过程'!$D:$D,MATCH(B16,'07_权限映射过程'!$B:$B,0)),"默认")</f>
        <v/>
      </c>
      <c r="H16" s="10">
        <f>IF(D16="","待生成","已生成")</f>
        <v/>
      </c>
    </row>
    <row r="17">
      <c r="A17" s="4" t="inlineStr">
        <is>
          <t>钢材模块</t>
        </is>
      </c>
      <c r="B17" s="4" t="inlineStr">
        <is>
          <t>钢材总嵌入排放(kgCO2e/pack)</t>
        </is>
      </c>
      <c r="C17" s="4" t="inlineStr">
        <is>
          <t>kgCO2e/pack</t>
        </is>
      </c>
      <c r="D17" s="10">
        <f>IFERROR(INDEX('10_CBAM中间表'!$D:$D,MATCH(B17,'10_CBAM中间表'!$B:$B,0)),"")</f>
        <v/>
      </c>
      <c r="E17" s="10">
        <f>IFERROR(INDEX('05_证据映射过程'!$E:$E,MATCH(B17,'05_证据映射过程'!$B:$B,0)),"不适用/默认")</f>
        <v/>
      </c>
      <c r="F17" s="10">
        <f>IFERROR(INDEX('06_核验映射过程'!$D:$D,MATCH(B17,'06_核验映射过程'!$B:$B,0)),"默认")</f>
        <v/>
      </c>
      <c r="G17" s="10">
        <f>IFERROR(INDEX('07_权限映射过程'!$D:$D,MATCH(B17,'07_权限映射过程'!$B:$B,0)),"默认")</f>
        <v/>
      </c>
      <c r="H17" s="10">
        <f>IF(D17="","待生成","已生成")</f>
        <v/>
      </c>
    </row>
    <row r="18">
      <c r="A18" s="4" t="inlineStr">
        <is>
          <t>钢材模块</t>
        </is>
      </c>
      <c r="B18" s="4" t="inlineStr">
        <is>
          <t>钢材核验状态</t>
        </is>
      </c>
      <c r="C18" s="4" t="inlineStr">
        <is>
          <t>文本</t>
        </is>
      </c>
      <c r="D18" s="10">
        <f>IFERROR(INDEX('10_CBAM中间表'!$D:$D,MATCH(B18,'10_CBAM中间表'!$B:$B,0)),"")</f>
        <v/>
      </c>
      <c r="E18" s="10">
        <f>IFERROR(INDEX('05_证据映射过程'!$E:$E,MATCH(B18,'05_证据映射过程'!$B:$B,0)),"不适用/默认")</f>
        <v/>
      </c>
      <c r="F18" s="10">
        <f>IFERROR(INDEX('06_核验映射过程'!$D:$D,MATCH(B18,'06_核验映射过程'!$B:$B,0)),"默认")</f>
        <v/>
      </c>
      <c r="G18" s="10">
        <f>IFERROR(INDEX('07_权限映射过程'!$D:$D,MATCH(B18,'07_权限映射过程'!$B:$B,0)),"默认")</f>
        <v/>
      </c>
      <c r="H18" s="10">
        <f>IF(D18="","待生成","已生成")</f>
        <v/>
      </c>
    </row>
    <row r="19">
      <c r="A19" s="4" t="inlineStr">
        <is>
          <t>汇总</t>
        </is>
      </c>
      <c r="B19" s="4" t="inlineStr">
        <is>
          <t>覆盖材料总嵌入排放(kgCO2e/pack)</t>
        </is>
      </c>
      <c r="C19" s="4" t="inlineStr">
        <is>
          <t>kgCO2e/pack</t>
        </is>
      </c>
      <c r="D19" s="10">
        <f>IFERROR(INDEX('10_CBAM中间表'!$D:$D,MATCH(B19,'10_CBAM中间表'!$B:$B,0)),"")</f>
        <v/>
      </c>
      <c r="E19" s="10">
        <f>IFERROR(INDEX('05_证据映射过程'!$E:$E,MATCH(B19,'05_证据映射过程'!$B:$B,0)),"不适用/默认")</f>
        <v/>
      </c>
      <c r="F19" s="10">
        <f>IFERROR(INDEX('06_核验映射过程'!$D:$D,MATCH(B19,'06_核验映射过程'!$B:$B,0)),"默认")</f>
        <v/>
      </c>
      <c r="G19" s="10">
        <f>IFERROR(INDEX('07_权限映射过程'!$D:$D,MATCH(B19,'07_权限映射过程'!$B:$B,0)),"默认")</f>
        <v/>
      </c>
      <c r="H19" s="10">
        <f>IF(D19="","待生成","已生成")</f>
        <v/>
      </c>
    </row>
    <row r="20">
      <c r="A20" s="4" t="inlineStr">
        <is>
          <t>汇总</t>
        </is>
      </c>
      <c r="B20" s="4" t="inlineStr">
        <is>
          <t>覆盖材料占整包总排放比重</t>
        </is>
      </c>
      <c r="C20" s="4" t="inlineStr">
        <is>
          <t>%</t>
        </is>
      </c>
      <c r="D20" s="10">
        <f>IFERROR(INDEX('10_CBAM中间表'!$D:$D,MATCH(B20,'10_CBAM中间表'!$B:$B,0)),"")</f>
        <v/>
      </c>
      <c r="E20" s="10">
        <f>IFERROR(INDEX('05_证据映射过程'!$E:$E,MATCH(B20,'05_证据映射过程'!$B:$B,0)),"不适用/默认")</f>
        <v/>
      </c>
      <c r="F20" s="10">
        <f>IFERROR(INDEX('06_核验映射过程'!$D:$D,MATCH(B20,'06_核验映射过程'!$B:$B,0)),"默认")</f>
        <v/>
      </c>
      <c r="G20" s="10">
        <f>IFERROR(INDEX('07_权限映射过程'!$D:$D,MATCH(B20,'07_权限映射过程'!$B:$B,0)),"默认")</f>
        <v/>
      </c>
      <c r="H20" s="10">
        <f>IF(D20="","待生成","已生成")</f>
        <v/>
      </c>
    </row>
    <row r="21">
      <c r="A21" s="4" t="inlineStr">
        <is>
          <t>汇总</t>
        </is>
      </c>
      <c r="B21" s="4" t="inlineStr">
        <is>
          <t>供应商 PCF 覆盖率</t>
        </is>
      </c>
      <c r="C21" s="4" t="inlineStr">
        <is>
          <t>%</t>
        </is>
      </c>
      <c r="D21" s="10">
        <f>IFERROR(INDEX('10_CBAM中间表'!$D:$D,MATCH(B21,'10_CBAM中间表'!$B:$B,0)),"")</f>
        <v/>
      </c>
      <c r="E21" s="10">
        <f>IFERROR(INDEX('05_证据映射过程'!$E:$E,MATCH(B21,'05_证据映射过程'!$B:$B,0)),"不适用/默认")</f>
        <v/>
      </c>
      <c r="F21" s="10">
        <f>IFERROR(INDEX('06_核验映射过程'!$D:$D,MATCH(B21,'06_核验映射过程'!$B:$B,0)),"默认")</f>
        <v/>
      </c>
      <c r="G21" s="10">
        <f>IFERROR(INDEX('07_权限映射过程'!$D:$D,MATCH(B21,'07_权限映射过程'!$B:$B,0)),"默认")</f>
        <v/>
      </c>
      <c r="H21" s="10">
        <f>IF(D21="","待生成","已生成")</f>
        <v/>
      </c>
    </row>
    <row r="22">
      <c r="A22" s="4" t="inlineStr">
        <is>
          <t>综合状态</t>
        </is>
      </c>
      <c r="B22" s="4" t="inlineStr">
        <is>
          <t>CBAM 兼容输出完备度</t>
        </is>
      </c>
      <c r="C22" s="4" t="inlineStr">
        <is>
          <t>%</t>
        </is>
      </c>
      <c r="D22" s="10">
        <f>IFERROR(INDEX('10_CBAM中间表'!$D:$D,MATCH(B22,'10_CBAM中间表'!$B:$B,0)),"")</f>
        <v/>
      </c>
      <c r="E22" s="10">
        <f>IFERROR(INDEX('05_证据映射过程'!$E:$E,MATCH(B22,'05_证据映射过程'!$B:$B,0)),"不适用/默认")</f>
        <v/>
      </c>
      <c r="F22" s="10">
        <f>IFERROR(INDEX('06_核验映射过程'!$D:$D,MATCH(B22,'06_核验映射过程'!$B:$B,0)),"默认")</f>
        <v/>
      </c>
      <c r="G22" s="10">
        <f>IFERROR(INDEX('07_权限映射过程'!$D:$D,MATCH(B22,'07_权限映射过程'!$B:$B,0)),"默认")</f>
        <v/>
      </c>
      <c r="H22" s="10">
        <f>IF(D22="","待生成","已生成")</f>
        <v/>
      </c>
    </row>
    <row r="23">
      <c r="A23" s="4" t="inlineStr">
        <is>
          <t>综合状态</t>
        </is>
      </c>
      <c r="B23" s="4" t="inlineStr">
        <is>
          <t>CBAM 兼容输出结论</t>
        </is>
      </c>
      <c r="C23" s="4" t="inlineStr">
        <is>
          <t>文本</t>
        </is>
      </c>
      <c r="D23" s="10">
        <f>IFERROR(INDEX('10_CBAM中间表'!$D:$D,MATCH(B23,'10_CBAM中间表'!$B:$B,0)),"")</f>
        <v/>
      </c>
      <c r="E23" s="10">
        <f>IFERROR(INDEX('05_证据映射过程'!$E:$E,MATCH(B23,'05_证据映射过程'!$B:$B,0)),"不适用/默认")</f>
        <v/>
      </c>
      <c r="F23" s="10">
        <f>IFERROR(INDEX('06_核验映射过程'!$D:$D,MATCH(B23,'06_核验映射过程'!$B:$B,0)),"默认")</f>
        <v/>
      </c>
      <c r="G23" s="10">
        <f>IFERROR(INDEX('07_权限映射过程'!$D:$D,MATCH(B23,'07_权限映射过程'!$B:$B,0)),"默认")</f>
        <v/>
      </c>
      <c r="H23" s="10">
        <f>IF(D23="","待生成","已生成")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H23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16" customWidth="1" min="4" max="4"/>
    <col width="12" customWidth="1" min="5" max="5"/>
    <col width="22" customWidth="1" min="6" max="6"/>
    <col width="18" customWidth="1" min="7" max="7"/>
    <col width="10" customWidth="1" min="8" max="8"/>
  </cols>
  <sheetData>
    <row r="1">
      <c r="A1" s="1" t="inlineStr">
        <is>
          <t>字段映射：从 CATL 输入到 EU / CBAM 输出</t>
        </is>
      </c>
    </row>
    <row r="3">
      <c r="A3" s="3" t="inlineStr">
        <is>
          <t>映射层</t>
        </is>
      </c>
      <c r="B3" s="3" t="inlineStr">
        <is>
          <t>目标字段</t>
        </is>
      </c>
      <c r="C3" s="3" t="inlineStr">
        <is>
          <t>输入字段代码</t>
        </is>
      </c>
      <c r="D3" s="3" t="inlineStr">
        <is>
          <t>输入当前值</t>
        </is>
      </c>
      <c r="E3" s="3" t="inlineStr">
        <is>
          <t>目标制度</t>
        </is>
      </c>
      <c r="F3" s="3" t="inlineStr">
        <is>
          <t>转换方式</t>
        </is>
      </c>
      <c r="G3" s="3" t="inlineStr">
        <is>
          <t>转换后结果预览</t>
        </is>
      </c>
      <c r="H3" s="3" t="inlineStr">
        <is>
          <t>是否关键</t>
        </is>
      </c>
    </row>
    <row r="4">
      <c r="A4" s="4" t="inlineStr">
        <is>
          <t>字段映射</t>
        </is>
      </c>
      <c r="B4" s="4" t="inlineStr">
        <is>
          <t>制造商名称</t>
        </is>
      </c>
      <c r="C4" s="4" t="inlineStr">
        <is>
          <t>manufacturer_name</t>
        </is>
      </c>
      <c r="D4" s="10" t="inlineStr">
        <is>
          <t>CATL</t>
        </is>
      </c>
      <c r="E4" s="4" t="inlineStr">
        <is>
          <t>EU</t>
        </is>
      </c>
      <c r="F4" s="4" t="inlineStr">
        <is>
          <t>直接映射</t>
        </is>
      </c>
      <c r="G4" s="10" t="inlineStr">
        <is>
          <t>CATL</t>
        </is>
      </c>
      <c r="H4" s="4" t="inlineStr">
        <is>
          <t>是</t>
        </is>
      </c>
    </row>
    <row r="5">
      <c r="A5" s="4" t="inlineStr">
        <is>
          <t>字段映射</t>
        </is>
      </c>
      <c r="B5" s="4" t="inlineStr">
        <is>
          <t>电池型号</t>
        </is>
      </c>
      <c r="C5" s="4" t="inlineStr">
        <is>
          <t>model_code</t>
        </is>
      </c>
      <c r="D5" s="10" t="inlineStr">
        <is>
          <t>SXP-CTP-PACK-DEMO-01</t>
        </is>
      </c>
      <c r="E5" s="4" t="inlineStr">
        <is>
          <t>EU+CBAM</t>
        </is>
      </c>
      <c r="F5" s="4" t="inlineStr">
        <is>
          <t>直接映射</t>
        </is>
      </c>
      <c r="G5" s="10" t="inlineStr">
        <is>
          <t>SXP-CTP-PACK-DEMO-01</t>
        </is>
      </c>
      <c r="H5" s="4" t="inlineStr">
        <is>
          <t>是</t>
        </is>
      </c>
    </row>
    <row r="6">
      <c r="A6" s="4" t="inlineStr">
        <is>
          <t>字段映射</t>
        </is>
      </c>
      <c r="B6" s="4" t="inlineStr">
        <is>
          <t>制造工厂代码</t>
        </is>
      </c>
      <c r="C6" s="4" t="inlineStr">
        <is>
          <t>plant_code</t>
        </is>
      </c>
      <c r="D6" s="10" t="inlineStr">
        <is>
          <t>CN-JS-PLANT-DEMO-01</t>
        </is>
      </c>
      <c r="E6" s="4" t="inlineStr">
        <is>
          <t>EU+CBAM</t>
        </is>
      </c>
      <c r="F6" s="4" t="inlineStr">
        <is>
          <t>直接映射</t>
        </is>
      </c>
      <c r="G6" s="10" t="inlineStr">
        <is>
          <t>CN-JS-PLANT-DEMO-01</t>
        </is>
      </c>
      <c r="H6" s="4" t="inlineStr">
        <is>
          <t>是</t>
        </is>
      </c>
    </row>
    <row r="7">
      <c r="A7" s="4" t="inlineStr">
        <is>
          <t>字段映射</t>
        </is>
      </c>
      <c r="B7" s="4" t="inlineStr">
        <is>
          <t>报告期</t>
        </is>
      </c>
      <c r="C7" s="4" t="inlineStr">
        <is>
          <t>reporting_period</t>
        </is>
      </c>
      <c r="D7" s="10" t="inlineStr">
        <is>
          <t>2025Q4</t>
        </is>
      </c>
      <c r="E7" s="4" t="inlineStr">
        <is>
          <t>EU+CBAM</t>
        </is>
      </c>
      <c r="F7" s="4" t="inlineStr">
        <is>
          <t>公司周期转产品周期</t>
        </is>
      </c>
      <c r="G7" s="10" t="inlineStr">
        <is>
          <t>2025Q4</t>
        </is>
      </c>
      <c r="H7" s="4" t="inlineStr">
        <is>
          <t>是</t>
        </is>
      </c>
    </row>
    <row r="8">
      <c r="A8" s="4" t="inlineStr">
        <is>
          <t>字段映射</t>
        </is>
      </c>
      <c r="B8" s="4" t="inlineStr">
        <is>
          <t>声明总碳足迹(kgCO2e/kWh)</t>
        </is>
      </c>
      <c r="C8" s="4" t="inlineStr">
        <is>
          <t>pack_capacity_kwh</t>
        </is>
      </c>
      <c r="D8" s="11" t="n">
        <v>72</v>
      </c>
      <c r="E8" s="4" t="inlineStr">
        <is>
          <t>EU</t>
        </is>
      </c>
      <c r="F8" s="4" t="inlineStr">
        <is>
          <t>生命周期计算后输出</t>
        </is>
      </c>
      <c r="G8" s="11" t="n">
        <v>48.97163120567376</v>
      </c>
      <c r="H8" s="4" t="inlineStr">
        <is>
          <t>是</t>
        </is>
      </c>
    </row>
    <row r="9">
      <c r="A9" s="4" t="inlineStr">
        <is>
          <t>字段映射</t>
        </is>
      </c>
      <c r="B9" s="4" t="inlineStr">
        <is>
          <t>原材料阶段(kgCO2e/kWh)</t>
        </is>
      </c>
      <c r="C9" s="4" t="inlineStr">
        <is>
          <t>cathode_mass_kg</t>
        </is>
      </c>
      <c r="D9" s="11" t="n">
        <v>140</v>
      </c>
      <c r="E9" s="4" t="inlineStr">
        <is>
          <t>EU</t>
        </is>
      </c>
      <c r="F9" s="4" t="inlineStr">
        <is>
          <t>材料质量 x 材料因子</t>
        </is>
      </c>
      <c r="G9" s="11" t="n">
        <v>44.23611111111111</v>
      </c>
      <c r="H9" s="4" t="inlineStr">
        <is>
          <t>是</t>
        </is>
      </c>
    </row>
    <row r="10">
      <c r="A10" s="4" t="inlineStr">
        <is>
          <t>字段映射</t>
        </is>
      </c>
      <c r="B10" s="4" t="inlineStr">
        <is>
          <t>制造阶段(kgCO2e/kWh)</t>
        </is>
      </c>
      <c r="C10" s="4" t="inlineStr">
        <is>
          <t>grid_electricity_kwh</t>
        </is>
      </c>
      <c r="D10" s="11" t="n">
        <v>450</v>
      </c>
      <c r="E10" s="4" t="inlineStr">
        <is>
          <t>EU</t>
        </is>
      </c>
      <c r="F10" s="4" t="inlineStr">
        <is>
          <t>能耗 + 工艺排放 + 良率调整</t>
        </is>
      </c>
      <c r="G10" s="11" t="n">
        <v>4.360520094562649</v>
      </c>
      <c r="H10" s="4" t="inlineStr">
        <is>
          <t>是</t>
        </is>
      </c>
    </row>
    <row r="11">
      <c r="A11" s="4" t="inlineStr">
        <is>
          <t>字段映射</t>
        </is>
      </c>
      <c r="B11" s="4" t="inlineStr">
        <is>
          <t>再生锂占比</t>
        </is>
      </c>
      <c r="C11" s="4" t="inlineStr">
        <is>
          <t>recycled_lithium_pct</t>
        </is>
      </c>
      <c r="D11" s="11" t="n">
        <v>0.08</v>
      </c>
      <c r="E11" s="4" t="inlineStr">
        <is>
          <t>EU</t>
        </is>
      </c>
      <c r="F11" s="4" t="inlineStr">
        <is>
          <t>直接映射</t>
        </is>
      </c>
      <c r="G11" s="11" t="n">
        <v>0.08</v>
      </c>
      <c r="H11" s="4" t="inlineStr">
        <is>
          <t>是</t>
        </is>
      </c>
    </row>
    <row r="12">
      <c r="A12" s="4" t="inlineStr">
        <is>
          <t>字段映射</t>
        </is>
      </c>
      <c r="B12" s="4" t="inlineStr">
        <is>
          <t>供应链追溯覆盖率</t>
        </is>
      </c>
      <c r="C12" s="4" t="inlineStr">
        <is>
          <t>supplier_traceability_coverage_pct</t>
        </is>
      </c>
      <c r="D12" s="11" t="n">
        <v>0.92</v>
      </c>
      <c r="E12" s="4" t="inlineStr">
        <is>
          <t>EU</t>
        </is>
      </c>
      <c r="F12" s="4" t="inlineStr">
        <is>
          <t>直接映射</t>
        </is>
      </c>
      <c r="G12" s="11" t="n">
        <v>0.92</v>
      </c>
      <c r="H12" s="4" t="inlineStr">
        <is>
          <t>是</t>
        </is>
      </c>
    </row>
    <row r="13">
      <c r="A13" s="4" t="inlineStr">
        <is>
          <t>字段映射</t>
        </is>
      </c>
      <c r="B13" s="4" t="inlineStr">
        <is>
          <t>铝材总嵌入排放(kgCO2e/pack)</t>
        </is>
      </c>
      <c r="C13" s="4" t="inlineStr">
        <is>
          <t>aluminium_mass_kg</t>
        </is>
      </c>
      <c r="D13" s="11" t="n">
        <v>80</v>
      </c>
      <c r="E13" s="4" t="inlineStr">
        <is>
          <t>CBAM</t>
        </is>
      </c>
      <c r="F13" s="4" t="inlineStr">
        <is>
          <t>铝材质量 x (直接+间接因子)</t>
        </is>
      </c>
      <c r="G13" s="11" t="n">
        <v>1120</v>
      </c>
      <c r="H13" s="4" t="inlineStr">
        <is>
          <t>是</t>
        </is>
      </c>
    </row>
    <row r="14">
      <c r="A14" s="4" t="inlineStr">
        <is>
          <t>字段映射</t>
        </is>
      </c>
      <c r="B14" s="4" t="inlineStr">
        <is>
          <t>钢材总嵌入排放(kgCO2e/pack)</t>
        </is>
      </c>
      <c r="C14" s="4" t="inlineStr">
        <is>
          <t>steel_mass_kg</t>
        </is>
      </c>
      <c r="D14" s="11" t="n">
        <v>30</v>
      </c>
      <c r="E14" s="4" t="inlineStr">
        <is>
          <t>CBAM</t>
        </is>
      </c>
      <c r="F14" s="4" t="inlineStr">
        <is>
          <t>钢材质量 x (直接+间接因子)</t>
        </is>
      </c>
      <c r="G14" s="11" t="n">
        <v>81</v>
      </c>
      <c r="H14" s="4" t="inlineStr">
        <is>
          <t>是</t>
        </is>
      </c>
    </row>
    <row r="15">
      <c r="A15" s="4" t="inlineStr">
        <is>
          <t>字段映射</t>
        </is>
      </c>
      <c r="B15" s="4" t="inlineStr">
        <is>
          <t>覆盖材料总嵌入排放(kgCO2e/pack)</t>
        </is>
      </c>
      <c r="C15" s="4" t="inlineStr">
        <is>
          <t>supplier_pcf_coverage_pct</t>
        </is>
      </c>
      <c r="D15" s="11" t="n">
        <v>0.76</v>
      </c>
      <c r="E15" s="4" t="inlineStr">
        <is>
          <t>CBAM</t>
        </is>
      </c>
      <c r="F15" s="4" t="inlineStr">
        <is>
          <t>铝材 + 钢材汇总</t>
        </is>
      </c>
      <c r="G15" s="11" t="n">
        <v>1201</v>
      </c>
      <c r="H15" s="4" t="inlineStr">
        <is>
          <t>是</t>
        </is>
      </c>
    </row>
    <row r="16">
      <c r="A16" s="4" t="inlineStr">
        <is>
          <t>字段映射</t>
        </is>
      </c>
      <c r="B16" s="4" t="inlineStr">
        <is>
          <t>分层访问矩阵</t>
        </is>
      </c>
      <c r="C16" s="4" t="inlineStr">
        <is>
          <t>access_matrix_status</t>
        </is>
      </c>
      <c r="D16" s="10" t="inlineStr">
        <is>
          <t>齐备</t>
        </is>
      </c>
      <c r="E16" s="4" t="inlineStr">
        <is>
          <t>EU+CBAM</t>
        </is>
      </c>
      <c r="F16" s="4" t="inlineStr">
        <is>
          <t>控制结果可见范围</t>
        </is>
      </c>
      <c r="G16" s="10" t="inlineStr">
        <is>
          <t>齐备</t>
        </is>
      </c>
      <c r="H16" s="4" t="inlineStr">
        <is>
          <t>是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H16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4" customWidth="1" min="3" max="3"/>
    <col width="22" customWidth="1" min="4" max="4"/>
    <col width="14" customWidth="1" min="5" max="5"/>
  </cols>
  <sheetData>
    <row r="1">
      <c r="A1" s="1" t="inlineStr">
        <is>
          <t>证据映射：每个输出字段背后需要什么证据</t>
        </is>
      </c>
    </row>
    <row r="3">
      <c r="A3" s="3" t="inlineStr">
        <is>
          <t>目标制度</t>
        </is>
      </c>
      <c r="B3" s="3" t="inlineStr">
        <is>
          <t>目标字段</t>
        </is>
      </c>
      <c r="C3" s="3" t="inlineStr">
        <is>
          <t>主要证据</t>
        </is>
      </c>
      <c r="D3" s="3" t="inlineStr">
        <is>
          <t>触发逻辑</t>
        </is>
      </c>
      <c r="E3" s="3" t="inlineStr">
        <is>
          <t>证据状态</t>
        </is>
      </c>
    </row>
    <row r="4">
      <c r="A4" s="4" t="inlineStr">
        <is>
          <t>EU</t>
        </is>
      </c>
      <c r="B4" s="4" t="inlineStr">
        <is>
          <t>制造商名称</t>
        </is>
      </c>
      <c r="C4" s="4" t="inlineStr">
        <is>
          <t>营业执照 / 年报</t>
        </is>
      </c>
      <c r="D4" s="4" t="inlineStr">
        <is>
          <t>有主体名称即通过</t>
        </is>
      </c>
      <c r="E4" s="10" t="inlineStr">
        <is>
          <t>证据齐备</t>
        </is>
      </c>
    </row>
    <row r="5">
      <c r="A5" s="4" t="inlineStr">
        <is>
          <t>EU</t>
        </is>
      </c>
      <c r="B5" s="4" t="inlineStr">
        <is>
          <t>电池型号</t>
        </is>
      </c>
      <c r="C5" s="4" t="inlineStr">
        <is>
          <t>型号注册表 / 产品主数据</t>
        </is>
      </c>
      <c r="D5" s="4" t="inlineStr">
        <is>
          <t>有型号即通过</t>
        </is>
      </c>
      <c r="E5" s="10" t="inlineStr">
        <is>
          <t>证据齐备</t>
        </is>
      </c>
    </row>
    <row r="6">
      <c r="A6" s="4" t="inlineStr">
        <is>
          <t>EU</t>
        </is>
      </c>
      <c r="B6" s="4" t="inlineStr">
        <is>
          <t>制造工厂代码</t>
        </is>
      </c>
      <c r="C6" s="4" t="inlineStr">
        <is>
          <t>工厂注册表 / 生产登记</t>
        </is>
      </c>
      <c r="D6" s="4" t="inlineStr">
        <is>
          <t>有工厂代码即通过</t>
        </is>
      </c>
      <c r="E6" s="10" t="inlineStr">
        <is>
          <t>证据齐备</t>
        </is>
      </c>
    </row>
    <row r="7">
      <c r="A7" s="4" t="inlineStr">
        <is>
          <t>EU</t>
        </is>
      </c>
      <c r="B7" s="4" t="inlineStr">
        <is>
          <t>声明总碳足迹(kgCO2e/kWh)</t>
        </is>
      </c>
      <c r="C7" s="4" t="inlineStr">
        <is>
          <t>PCF 研究底稿 / BOM / 能耗 / 运输 / 回收数据</t>
        </is>
      </c>
      <c r="D7" s="4" t="inlineStr">
        <is>
          <t>PCF 底稿齐备且容量&gt;0</t>
        </is>
      </c>
      <c r="E7" s="10" t="inlineStr">
        <is>
          <t>证据齐备</t>
        </is>
      </c>
    </row>
    <row r="8">
      <c r="A8" s="4" t="inlineStr">
        <is>
          <t>EU</t>
        </is>
      </c>
      <c r="B8" s="4" t="inlineStr">
        <is>
          <t>再生锂占比</t>
        </is>
      </c>
      <c r="C8" s="4" t="inlineStr">
        <is>
          <t>质量平衡 / 供应商声明</t>
        </is>
      </c>
      <c r="D8" s="4" t="inlineStr">
        <is>
          <t>有再生锂输入即通过</t>
        </is>
      </c>
      <c r="E8" s="10" t="inlineStr">
        <is>
          <t>证据齐备</t>
        </is>
      </c>
    </row>
    <row r="9">
      <c r="A9" s="4" t="inlineStr">
        <is>
          <t>EU</t>
        </is>
      </c>
      <c r="B9" s="4" t="inlineStr">
        <is>
          <t>尽调政策链接</t>
        </is>
      </c>
      <c r="C9" s="4" t="inlineStr">
        <is>
          <t>政策文件 / 官网链接</t>
        </is>
      </c>
      <c r="D9" s="4" t="inlineStr">
        <is>
          <t>有链接即通过</t>
        </is>
      </c>
      <c r="E9" s="10" t="inlineStr">
        <is>
          <t>证据齐备</t>
        </is>
      </c>
    </row>
    <row r="10">
      <c r="A10" s="4" t="inlineStr">
        <is>
          <t>EU</t>
        </is>
      </c>
      <c r="B10" s="4" t="inlineStr">
        <is>
          <t>供应链追溯覆盖率</t>
        </is>
      </c>
      <c r="C10" s="4" t="inlineStr">
        <is>
          <t>追溯台账 / 供应商台账</t>
        </is>
      </c>
      <c r="D10" s="4" t="inlineStr">
        <is>
          <t>覆盖率&gt;=80%</t>
        </is>
      </c>
      <c r="E10" s="10" t="inlineStr">
        <is>
          <t>证据齐备</t>
        </is>
      </c>
    </row>
    <row r="11">
      <c r="A11" s="4" t="inlineStr">
        <is>
          <t>EU</t>
        </is>
      </c>
      <c r="B11" s="4" t="inlineStr">
        <is>
          <t>测试报告状态</t>
        </is>
      </c>
      <c r="C11" s="4" t="inlineStr">
        <is>
          <t>测试报告原件</t>
        </is>
      </c>
      <c r="D11" s="4" t="inlineStr">
        <is>
          <t>状态=齐备</t>
        </is>
      </c>
      <c r="E11" s="10" t="inlineStr">
        <is>
          <t>证据齐备</t>
        </is>
      </c>
    </row>
    <row r="12">
      <c r="A12" s="4" t="inlineStr">
        <is>
          <t>EU</t>
        </is>
      </c>
      <c r="B12" s="4" t="inlineStr">
        <is>
          <t>技术文档状态</t>
        </is>
      </c>
      <c r="C12" s="4" t="inlineStr">
        <is>
          <t>图纸 / 说明书 / 计算书</t>
        </is>
      </c>
      <c r="D12" s="4" t="inlineStr">
        <is>
          <t>状态=齐备</t>
        </is>
      </c>
      <c r="E12" s="10" t="inlineStr">
        <is>
          <t>证据齐备</t>
        </is>
      </c>
    </row>
    <row r="13">
      <c r="A13" s="4" t="inlineStr">
        <is>
          <t>EU</t>
        </is>
      </c>
      <c r="B13" s="4" t="inlineStr">
        <is>
          <t>护照对象 ID</t>
        </is>
      </c>
      <c r="C13" s="4" t="inlineStr">
        <is>
          <t>结构化数据包 / 接口对象</t>
        </is>
      </c>
      <c r="D13" s="4" t="inlineStr">
        <is>
          <t>护照数据包=齐备</t>
        </is>
      </c>
      <c r="E13" s="10" t="inlineStr">
        <is>
          <t>证据齐备</t>
        </is>
      </c>
    </row>
    <row r="14">
      <c r="A14" s="4" t="inlineStr">
        <is>
          <t>CBAM</t>
        </is>
      </c>
      <c r="B14" s="4" t="inlineStr">
        <is>
          <t>铝材总嵌入排放(kgCO2e/pack)</t>
        </is>
      </c>
      <c r="C14" s="4" t="inlineStr">
        <is>
          <t>铝材安装点数据 / supplier PCF / verifier 报告</t>
        </is>
      </c>
      <c r="D14" s="4" t="inlineStr">
        <is>
          <t>安装点存在且已核验</t>
        </is>
      </c>
      <c r="E14" s="10" t="inlineStr">
        <is>
          <t>证据齐备</t>
        </is>
      </c>
    </row>
    <row r="15">
      <c r="A15" s="4" t="inlineStr">
        <is>
          <t>CBAM</t>
        </is>
      </c>
      <c r="B15" s="4" t="inlineStr">
        <is>
          <t>钢材总嵌入排放(kgCO2e/pack)</t>
        </is>
      </c>
      <c r="C15" s="4" t="inlineStr">
        <is>
          <t>钢材安装点数据 / supplier PCF / verifier 报告</t>
        </is>
      </c>
      <c r="D15" s="4" t="inlineStr">
        <is>
          <t>安装点存在且已核验</t>
        </is>
      </c>
      <c r="E15" s="10" t="inlineStr">
        <is>
          <t>证据齐备</t>
        </is>
      </c>
    </row>
    <row r="16">
      <c r="A16" s="4" t="inlineStr">
        <is>
          <t>CBAM</t>
        </is>
      </c>
      <c r="B16" s="4" t="inlineStr">
        <is>
          <t>覆盖材料总嵌入排放(kgCO2e/pack)</t>
        </is>
      </c>
      <c r="C16" s="4" t="inlineStr">
        <is>
          <t>铝材与钢材证据同时齐备</t>
        </is>
      </c>
      <c r="D16" s="4" t="inlineStr">
        <is>
          <t>两类材料都已核验</t>
        </is>
      </c>
      <c r="E16" s="10" t="inlineStr">
        <is>
          <t>证据齐备</t>
        </is>
      </c>
    </row>
    <row r="17">
      <c r="A17" s="4" t="inlineStr">
        <is>
          <t>CBAM</t>
        </is>
      </c>
      <c r="B17" s="4" t="inlineStr">
        <is>
          <t>供应商 PCF 覆盖率</t>
        </is>
      </c>
      <c r="C17" s="4" t="inlineStr">
        <is>
          <t>supplier PCF 报告 / 声明</t>
        </is>
      </c>
      <c r="D17" s="4" t="inlineStr">
        <is>
          <t>覆盖率&gt;=70%</t>
        </is>
      </c>
      <c r="E17" s="10" t="inlineStr">
        <is>
          <t>证据齐备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E17"/>
  <mergeCells count="1">
    <mergeCell ref="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22" customWidth="1" min="4" max="4"/>
  </cols>
  <sheetData>
    <row r="1">
      <c r="A1" s="1" t="inlineStr">
        <is>
          <t>核验映射：谁来确认每一类数据</t>
        </is>
      </c>
    </row>
    <row r="3">
      <c r="A3" s="3" t="inlineStr">
        <is>
          <t>目标制度</t>
        </is>
      </c>
      <c r="B3" s="3" t="inlineStr">
        <is>
          <t>目标字段</t>
        </is>
      </c>
      <c r="C3" s="3" t="inlineStr">
        <is>
          <t>字段类型</t>
        </is>
      </c>
      <c r="D3" s="3" t="inlineStr">
        <is>
          <t>核验层级</t>
        </is>
      </c>
    </row>
    <row r="4">
      <c r="A4" s="4" t="inlineStr">
        <is>
          <t>EU</t>
        </is>
      </c>
      <c r="B4" s="4" t="inlineStr">
        <is>
          <t>制造商名称</t>
        </is>
      </c>
      <c r="C4" s="4" t="inlineStr">
        <is>
          <t>主体识别</t>
        </is>
      </c>
      <c r="D4" s="10" t="inlineStr">
        <is>
          <t>内部确认</t>
        </is>
      </c>
    </row>
    <row r="5">
      <c r="A5" s="4" t="inlineStr">
        <is>
          <t>EU</t>
        </is>
      </c>
      <c r="B5" s="4" t="inlineStr">
        <is>
          <t>电池型号</t>
        </is>
      </c>
      <c r="C5" s="4" t="inlineStr">
        <is>
          <t>产品主数据</t>
        </is>
      </c>
      <c r="D5" s="10" t="inlineStr">
        <is>
          <t>内部确认</t>
        </is>
      </c>
    </row>
    <row r="6">
      <c r="A6" s="4" t="inlineStr">
        <is>
          <t>EU</t>
        </is>
      </c>
      <c r="B6" s="4" t="inlineStr">
        <is>
          <t>制造工厂代码</t>
        </is>
      </c>
      <c r="C6" s="4" t="inlineStr">
        <is>
          <t>工厂主数据</t>
        </is>
      </c>
      <c r="D6" s="10" t="inlineStr">
        <is>
          <t>内部确认</t>
        </is>
      </c>
    </row>
    <row r="7">
      <c r="A7" s="4" t="inlineStr">
        <is>
          <t>EU</t>
        </is>
      </c>
      <c r="B7" s="4" t="inlineStr">
        <is>
          <t>声明总碳足迹(kgCO2e/kWh)</t>
        </is>
      </c>
      <c r="C7" s="4" t="inlineStr">
        <is>
          <t>碳足迹结果</t>
        </is>
      </c>
      <c r="D7" s="10" t="inlineStr">
        <is>
          <t>第三方/合规核验</t>
        </is>
      </c>
    </row>
    <row r="8">
      <c r="A8" s="4" t="inlineStr">
        <is>
          <t>EU</t>
        </is>
      </c>
      <c r="B8" s="4" t="inlineStr">
        <is>
          <t>再生锂占比</t>
        </is>
      </c>
      <c r="C8" s="4" t="inlineStr">
        <is>
          <t>再生材料结果</t>
        </is>
      </c>
      <c r="D8" s="10" t="inlineStr">
        <is>
          <t>第三方/合规核验</t>
        </is>
      </c>
    </row>
    <row r="9">
      <c r="A9" s="4" t="inlineStr">
        <is>
          <t>EU</t>
        </is>
      </c>
      <c r="B9" s="4" t="inlineStr">
        <is>
          <t>测试报告状态</t>
        </is>
      </c>
      <c r="C9" s="4" t="inlineStr">
        <is>
          <t>合规硬材料</t>
        </is>
      </c>
      <c r="D9" s="10" t="inlineStr">
        <is>
          <t>公告机构/正式合规评估</t>
        </is>
      </c>
    </row>
    <row r="10">
      <c r="A10" s="4" t="inlineStr">
        <is>
          <t>EU</t>
        </is>
      </c>
      <c r="B10" s="4" t="inlineStr">
        <is>
          <t>技术文档状态</t>
        </is>
      </c>
      <c r="C10" s="4" t="inlineStr">
        <is>
          <t>合规硬材料</t>
        </is>
      </c>
      <c r="D10" s="10" t="inlineStr">
        <is>
          <t>公告机构/正式合规评估</t>
        </is>
      </c>
    </row>
    <row r="11">
      <c r="A11" s="4" t="inlineStr">
        <is>
          <t>CBAM</t>
        </is>
      </c>
      <c r="B11" s="4" t="inlineStr">
        <is>
          <t>铝材总嵌入排放(kgCO2e/pack)</t>
        </is>
      </c>
      <c r="C11" s="4" t="inlineStr">
        <is>
          <t>上游材料排放</t>
        </is>
      </c>
      <c r="D11" s="10" t="inlineStr">
        <is>
          <t>供应商核验/抽查</t>
        </is>
      </c>
    </row>
    <row r="12">
      <c r="A12" s="4" t="inlineStr">
        <is>
          <t>CBAM</t>
        </is>
      </c>
      <c r="B12" s="4" t="inlineStr">
        <is>
          <t>钢材总嵌入排放(kgCO2e/pack)</t>
        </is>
      </c>
      <c r="C12" s="4" t="inlineStr">
        <is>
          <t>上游材料排放</t>
        </is>
      </c>
      <c r="D12" s="10" t="inlineStr">
        <is>
          <t>供应商核验/抽查</t>
        </is>
      </c>
    </row>
    <row r="13">
      <c r="A13" s="4" t="inlineStr">
        <is>
          <t>CBAM</t>
        </is>
      </c>
      <c r="B13" s="4" t="inlineStr">
        <is>
          <t>覆盖材料总嵌入排放(kgCO2e/pack)</t>
        </is>
      </c>
      <c r="C13" s="4" t="inlineStr">
        <is>
          <t>上游汇总结果</t>
        </is>
      </c>
      <c r="D13" s="10" t="inlineStr">
        <is>
          <t>供应商核验/抽查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D13"/>
  <mergeCells count="1">
    <mergeCell ref="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22" customWidth="1" min="4" max="4"/>
  </cols>
  <sheetData>
    <row r="1">
      <c r="A1" s="1" t="inlineStr">
        <is>
          <t>权限映射：谁能看哪些数据</t>
        </is>
      </c>
    </row>
    <row r="3">
      <c r="A3" s="3" t="inlineStr">
        <is>
          <t>目标制度</t>
        </is>
      </c>
      <c r="B3" s="3" t="inlineStr">
        <is>
          <t>目标字段</t>
        </is>
      </c>
      <c r="C3" s="3" t="inlineStr">
        <is>
          <t>字段类型</t>
        </is>
      </c>
      <c r="D3" s="3" t="inlineStr">
        <is>
          <t>访问层级</t>
        </is>
      </c>
    </row>
    <row r="4">
      <c r="A4" s="4" t="inlineStr">
        <is>
          <t>EU</t>
        </is>
      </c>
      <c r="B4" s="4" t="inlineStr">
        <is>
          <t>制造商名称</t>
        </is>
      </c>
      <c r="C4" s="4" t="inlineStr">
        <is>
          <t>公开识别字段</t>
        </is>
      </c>
      <c r="D4" s="10" t="inlineStr">
        <is>
          <t>公开</t>
        </is>
      </c>
    </row>
    <row r="5">
      <c r="A5" s="4" t="inlineStr">
        <is>
          <t>EU</t>
        </is>
      </c>
      <c r="B5" s="4" t="inlineStr">
        <is>
          <t>电池型号</t>
        </is>
      </c>
      <c r="C5" s="4" t="inlineStr">
        <is>
          <t>产品锚点</t>
        </is>
      </c>
      <c r="D5" s="10" t="inlineStr">
        <is>
          <t>受限</t>
        </is>
      </c>
    </row>
    <row r="6">
      <c r="A6" s="4" t="inlineStr">
        <is>
          <t>EU</t>
        </is>
      </c>
      <c r="B6" s="4" t="inlineStr">
        <is>
          <t>制造工厂代码</t>
        </is>
      </c>
      <c r="C6" s="4" t="inlineStr">
        <is>
          <t>工厂锚点</t>
        </is>
      </c>
      <c r="D6" s="10" t="inlineStr">
        <is>
          <t>受限</t>
        </is>
      </c>
    </row>
    <row r="7">
      <c r="A7" s="4" t="inlineStr">
        <is>
          <t>EU</t>
        </is>
      </c>
      <c r="B7" s="4" t="inlineStr">
        <is>
          <t>声明总碳足迹(kgCO2e/kWh)</t>
        </is>
      </c>
      <c r="C7" s="4" t="inlineStr">
        <is>
          <t>公开结果</t>
        </is>
      </c>
      <c r="D7" s="10" t="inlineStr">
        <is>
          <t>公开</t>
        </is>
      </c>
    </row>
    <row r="8">
      <c r="A8" s="4" t="inlineStr">
        <is>
          <t>EU</t>
        </is>
      </c>
      <c r="B8" s="4" t="inlineStr">
        <is>
          <t>再生锂占比</t>
        </is>
      </c>
      <c r="C8" s="4" t="inlineStr">
        <is>
          <t>公开结果</t>
        </is>
      </c>
      <c r="D8" s="10" t="inlineStr">
        <is>
          <t>公开</t>
        </is>
      </c>
    </row>
    <row r="9">
      <c r="A9" s="4" t="inlineStr">
        <is>
          <t>EU</t>
        </is>
      </c>
      <c r="B9" s="4" t="inlineStr">
        <is>
          <t>测试报告状态</t>
        </is>
      </c>
      <c r="C9" s="4" t="inlineStr">
        <is>
          <t>硬材料状态</t>
        </is>
      </c>
      <c r="D9" s="10" t="inlineStr">
        <is>
          <t>仅公告机构/监管</t>
        </is>
      </c>
    </row>
    <row r="10">
      <c r="A10" s="4" t="inlineStr">
        <is>
          <t>EU</t>
        </is>
      </c>
      <c r="B10" s="4" t="inlineStr">
        <is>
          <t>技术文档状态</t>
        </is>
      </c>
      <c r="C10" s="4" t="inlineStr">
        <is>
          <t>硬材料状态</t>
        </is>
      </c>
      <c r="D10" s="10" t="inlineStr">
        <is>
          <t>仅公告机构/监管</t>
        </is>
      </c>
    </row>
    <row r="11">
      <c r="A11" s="4" t="inlineStr">
        <is>
          <t>CBAM</t>
        </is>
      </c>
      <c r="B11" s="4" t="inlineStr">
        <is>
          <t>铝材总嵌入排放(kgCO2e/pack)</t>
        </is>
      </c>
      <c r="C11" s="4" t="inlineStr">
        <is>
          <t>上游材料排放</t>
        </is>
      </c>
      <c r="D11" s="10" t="inlineStr">
        <is>
          <t>受限</t>
        </is>
      </c>
    </row>
    <row r="12">
      <c r="A12" s="4" t="inlineStr">
        <is>
          <t>CBAM</t>
        </is>
      </c>
      <c r="B12" s="4" t="inlineStr">
        <is>
          <t>钢材总嵌入排放(kgCO2e/pack)</t>
        </is>
      </c>
      <c r="C12" s="4" t="inlineStr">
        <is>
          <t>上游材料排放</t>
        </is>
      </c>
      <c r="D12" s="10" t="inlineStr">
        <is>
          <t>受限</t>
        </is>
      </c>
    </row>
    <row r="13">
      <c r="A13" s="4" t="inlineStr">
        <is>
          <t>CBAM</t>
        </is>
      </c>
      <c r="B13" s="4" t="inlineStr">
        <is>
          <t>覆盖材料总嵌入排放(kgCO2e/pack)</t>
        </is>
      </c>
      <c r="C13" s="4" t="inlineStr">
        <is>
          <t>汇总结果</t>
        </is>
      </c>
      <c r="D13" s="10" t="inlineStr">
        <is>
          <t>受限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D13"/>
  <mergeCells count="1">
    <mergeCell ref="A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8" customWidth="1" min="4" max="4"/>
  </cols>
  <sheetData>
    <row r="1">
      <c r="A1" s="1" t="inlineStr">
        <is>
          <t>生命周期碳足迹计算过程（全部自动公式）</t>
        </is>
      </c>
    </row>
    <row r="3">
      <c r="A3" s="3" t="inlineStr">
        <is>
          <t>计算模块</t>
        </is>
      </c>
      <c r="B3" s="3" t="inlineStr">
        <is>
          <t>计算项</t>
        </is>
      </c>
      <c r="C3" s="3" t="inlineStr">
        <is>
          <t>计算逻辑</t>
        </is>
      </c>
      <c r="D3" s="3" t="inlineStr">
        <is>
          <t>当前结果预览</t>
        </is>
      </c>
    </row>
    <row r="4">
      <c r="A4" s="4" t="inlineStr">
        <is>
          <t>原材料阶段</t>
        </is>
      </c>
      <c r="B4" s="4" t="inlineStr">
        <is>
          <t>正极材料排放</t>
        </is>
      </c>
      <c r="C4" s="4" t="inlineStr">
        <is>
          <t>质量 x 排放因子</t>
        </is>
      </c>
      <c r="D4" s="11" t="n">
        <v>700</v>
      </c>
    </row>
    <row r="5">
      <c r="A5" s="4" t="inlineStr">
        <is>
          <t>原材料阶段</t>
        </is>
      </c>
      <c r="B5" s="4" t="inlineStr">
        <is>
          <t>负极材料排放</t>
        </is>
      </c>
      <c r="C5" s="4" t="inlineStr">
        <is>
          <t>质量 x 排放因子</t>
        </is>
      </c>
      <c r="D5" s="11" t="n">
        <v>455</v>
      </c>
    </row>
    <row r="6">
      <c r="A6" s="4" t="inlineStr">
        <is>
          <t>原材料阶段</t>
        </is>
      </c>
      <c r="B6" s="4" t="inlineStr">
        <is>
          <t>电解液排放</t>
        </is>
      </c>
      <c r="C6" s="4" t="inlineStr">
        <is>
          <t>质量 x 排放因子</t>
        </is>
      </c>
      <c r="D6" s="11" t="n">
        <v>280</v>
      </c>
    </row>
    <row r="7">
      <c r="A7" s="4" t="inlineStr">
        <is>
          <t>原材料阶段</t>
        </is>
      </c>
      <c r="B7" s="4" t="inlineStr">
        <is>
          <t>隔膜排放</t>
        </is>
      </c>
      <c r="C7" s="4" t="inlineStr">
        <is>
          <t>质量 x 排放因子</t>
        </is>
      </c>
      <c r="D7" s="11" t="n">
        <v>54</v>
      </c>
    </row>
    <row r="8">
      <c r="A8" s="4" t="inlineStr">
        <is>
          <t>原材料阶段</t>
        </is>
      </c>
      <c r="B8" s="4" t="inlineStr">
        <is>
          <t>铜材排放</t>
        </is>
      </c>
      <c r="C8" s="4" t="inlineStr">
        <is>
          <t>质量 x 排放因子</t>
        </is>
      </c>
      <c r="D8" s="11" t="n">
        <v>190</v>
      </c>
    </row>
    <row r="9">
      <c r="A9" s="4" t="inlineStr">
        <is>
          <t>原材料阶段</t>
        </is>
      </c>
      <c r="B9" s="4" t="inlineStr">
        <is>
          <t>铝材直接排放</t>
        </is>
      </c>
      <c r="C9" s="4" t="inlineStr">
        <is>
          <t>质量 x 直接因子</t>
        </is>
      </c>
      <c r="D9" s="11" t="n">
        <v>720</v>
      </c>
    </row>
    <row r="10">
      <c r="A10" s="4" t="inlineStr">
        <is>
          <t>原材料阶段</t>
        </is>
      </c>
      <c r="B10" s="4" t="inlineStr">
        <is>
          <t>铝材间接排放</t>
        </is>
      </c>
      <c r="C10" s="4" t="inlineStr">
        <is>
          <t>质量 x 间接因子</t>
        </is>
      </c>
      <c r="D10" s="11" t="n">
        <v>400</v>
      </c>
    </row>
    <row r="11">
      <c r="A11" s="4" t="inlineStr">
        <is>
          <t>原材料阶段</t>
        </is>
      </c>
      <c r="B11" s="4" t="inlineStr">
        <is>
          <t>钢材直接排放</t>
        </is>
      </c>
      <c r="C11" s="4" t="inlineStr">
        <is>
          <t>质量 x 直接因子</t>
        </is>
      </c>
      <c r="D11" s="11" t="n">
        <v>60</v>
      </c>
    </row>
    <row r="12">
      <c r="A12" s="4" t="inlineStr">
        <is>
          <t>原材料阶段</t>
        </is>
      </c>
      <c r="B12" s="4" t="inlineStr">
        <is>
          <t>钢材间接排放</t>
        </is>
      </c>
      <c r="C12" s="4" t="inlineStr">
        <is>
          <t>质量 x 间接因子</t>
        </is>
      </c>
      <c r="D12" s="11" t="n">
        <v>21</v>
      </c>
    </row>
    <row r="13">
      <c r="A13" s="4" t="inlineStr">
        <is>
          <t>原材料阶段</t>
        </is>
      </c>
      <c r="B13" s="4" t="inlineStr">
        <is>
          <t>塑料件排放</t>
        </is>
      </c>
      <c r="C13" s="4" t="inlineStr">
        <is>
          <t>质量 x 排放因子</t>
        </is>
      </c>
      <c r="D13" s="11" t="n">
        <v>75</v>
      </c>
    </row>
    <row r="14">
      <c r="A14" s="4" t="inlineStr">
        <is>
          <t>原材料阶段</t>
        </is>
      </c>
      <c r="B14" s="4" t="inlineStr">
        <is>
          <t>其他材料排放</t>
        </is>
      </c>
      <c r="C14" s="4" t="inlineStr">
        <is>
          <t>质量 x 排放因子</t>
        </is>
      </c>
      <c r="D14" s="11" t="n">
        <v>230</v>
      </c>
    </row>
    <row r="15">
      <c r="A15" s="4" t="inlineStr">
        <is>
          <t>原材料阶段</t>
        </is>
      </c>
      <c r="B15" s="4" t="inlineStr">
        <is>
          <t>原材料阶段合计</t>
        </is>
      </c>
      <c r="C15" s="4" t="inlineStr">
        <is>
          <t>上述求和</t>
        </is>
      </c>
      <c r="D15" s="11" t="n">
        <v>3185</v>
      </c>
    </row>
    <row r="16">
      <c r="A16" s="4" t="inlineStr">
        <is>
          <t>制造阶段</t>
        </is>
      </c>
      <c r="B16" s="4" t="inlineStr">
        <is>
          <t>电网电排放</t>
        </is>
      </c>
      <c r="C16" s="4" t="inlineStr">
        <is>
          <t>用量 x 因子</t>
        </is>
      </c>
      <c r="D16" s="11" t="n">
        <v>247.5</v>
      </c>
    </row>
    <row r="17">
      <c r="A17" s="4" t="inlineStr">
        <is>
          <t>制造阶段</t>
        </is>
      </c>
      <c r="B17" s="4" t="inlineStr">
        <is>
          <t>绿电排放</t>
        </is>
      </c>
      <c r="C17" s="4" t="inlineStr">
        <is>
          <t>用量 x 因子</t>
        </is>
      </c>
      <c r="D17" s="11" t="n">
        <v>7.5</v>
      </c>
    </row>
    <row r="18">
      <c r="A18" s="4" t="inlineStr">
        <is>
          <t>制造阶段</t>
        </is>
      </c>
      <c r="B18" s="4" t="inlineStr">
        <is>
          <t>蒸汽排放</t>
        </is>
      </c>
      <c r="C18" s="4" t="inlineStr">
        <is>
          <t>用量 x 因子</t>
        </is>
      </c>
      <c r="D18" s="11" t="n">
        <v>15.4</v>
      </c>
    </row>
    <row r="19">
      <c r="A19" s="4" t="inlineStr">
        <is>
          <t>制造阶段</t>
        </is>
      </c>
      <c r="B19" s="4" t="inlineStr">
        <is>
          <t>天然气排放</t>
        </is>
      </c>
      <c r="C19" s="4" t="inlineStr">
        <is>
          <t>用量 x 因子</t>
        </is>
      </c>
      <c r="D19" s="11" t="n">
        <v>6.72</v>
      </c>
    </row>
    <row r="20">
      <c r="A20" s="4" t="inlineStr">
        <is>
          <t>制造阶段</t>
        </is>
      </c>
      <c r="B20" s="4" t="inlineStr">
        <is>
          <t>制造阶段良率调整前</t>
        </is>
      </c>
      <c r="C20" s="4" t="inlineStr">
        <is>
          <t>能耗排放 + 工艺排放</t>
        </is>
      </c>
      <c r="D20" s="11" t="n">
        <v>295.1200000000001</v>
      </c>
    </row>
    <row r="21">
      <c r="A21" s="4" t="inlineStr">
        <is>
          <t>制造阶段</t>
        </is>
      </c>
      <c r="B21" s="4" t="inlineStr">
        <is>
          <t>制造阶段良率调整后</t>
        </is>
      </c>
      <c r="C21" s="4" t="inlineStr">
        <is>
          <t>良率调整后结果</t>
        </is>
      </c>
      <c r="D21" s="11" t="n">
        <v>313.9574468085107</v>
      </c>
    </row>
    <row r="22">
      <c r="A22" s="4" t="inlineStr">
        <is>
          <t>运输阶段</t>
        </is>
      </c>
      <c r="B22" s="4" t="inlineStr">
        <is>
          <t>运输阶段合计</t>
        </is>
      </c>
      <c r="C22" s="4" t="inlineStr">
        <is>
          <t>上游运输 + 下游运输</t>
        </is>
      </c>
      <c r="D22" s="11" t="n">
        <v>42</v>
      </c>
    </row>
    <row r="23">
      <c r="A23" s="4" t="inlineStr">
        <is>
          <t>终端回收</t>
        </is>
      </c>
      <c r="B23" s="4" t="inlineStr">
        <is>
          <t>终端回收信用</t>
        </is>
      </c>
      <c r="C23" s="4" t="inlineStr">
        <is>
          <t>回收信用输入</t>
        </is>
      </c>
      <c r="D23" s="11" t="n">
        <v>-15</v>
      </c>
    </row>
    <row r="24">
      <c r="A24" s="4" t="inlineStr">
        <is>
          <t>总量</t>
        </is>
      </c>
      <c r="B24" s="4" t="inlineStr">
        <is>
          <t>整包总碳足迹</t>
        </is>
      </c>
      <c r="C24" s="4" t="inlineStr">
        <is>
          <t>各阶段汇总</t>
        </is>
      </c>
      <c r="D24" s="11" t="n">
        <v>3525.957446808511</v>
      </c>
    </row>
    <row r="25">
      <c r="A25" s="4" t="inlineStr">
        <is>
          <t>总量</t>
        </is>
      </c>
      <c r="B25" s="4" t="inlineStr">
        <is>
          <t>整包碳足迹强度</t>
        </is>
      </c>
      <c r="C25" s="4" t="inlineStr">
        <is>
          <t>整包总碳足迹 / 容量</t>
        </is>
      </c>
      <c r="D25" s="11" t="n">
        <v>48.97163120567376</v>
      </c>
    </row>
    <row r="26">
      <c r="A26" s="4" t="inlineStr">
        <is>
          <t>阶段强度</t>
        </is>
      </c>
      <c r="B26" s="4" t="inlineStr">
        <is>
          <t>原材料阶段强度</t>
        </is>
      </c>
      <c r="C26" s="4" t="inlineStr">
        <is>
          <t>原材料阶段合计 / 容量</t>
        </is>
      </c>
      <c r="D26" s="11" t="n">
        <v>44.23611111111111</v>
      </c>
    </row>
    <row r="27">
      <c r="A27" s="4" t="inlineStr">
        <is>
          <t>阶段强度</t>
        </is>
      </c>
      <c r="B27" s="4" t="inlineStr">
        <is>
          <t>制造阶段强度</t>
        </is>
      </c>
      <c r="C27" s="4" t="inlineStr">
        <is>
          <t>制造阶段合计 / 容量</t>
        </is>
      </c>
      <c r="D27" s="11" t="n">
        <v>4.360520094562649</v>
      </c>
    </row>
    <row r="28">
      <c r="A28" s="4" t="inlineStr">
        <is>
          <t>阶段强度</t>
        </is>
      </c>
      <c r="B28" s="4" t="inlineStr">
        <is>
          <t>运输阶段强度</t>
        </is>
      </c>
      <c r="C28" s="4" t="inlineStr">
        <is>
          <t>运输阶段合计 / 容量</t>
        </is>
      </c>
      <c r="D28" s="11" t="n">
        <v>0.5833333333333334</v>
      </c>
    </row>
    <row r="29">
      <c r="A29" s="4" t="inlineStr">
        <is>
          <t>阶段强度</t>
        </is>
      </c>
      <c r="B29" s="4" t="inlineStr">
        <is>
          <t>终端回收阶段强度</t>
        </is>
      </c>
      <c r="C29" s="4" t="inlineStr">
        <is>
          <t>终端回收信用 / 容量</t>
        </is>
      </c>
      <c r="D29" s="11" t="n">
        <v>-0.2083333333333333</v>
      </c>
    </row>
    <row r="30">
      <c r="A30" s="4" t="inlineStr">
        <is>
          <t>CBAM影子</t>
        </is>
      </c>
      <c r="B30" s="4" t="inlineStr">
        <is>
          <t>铝材总嵌入排放</t>
        </is>
      </c>
      <c r="C30" s="4" t="inlineStr">
        <is>
          <t>铝材直接 + 间接</t>
        </is>
      </c>
      <c r="D30" s="11" t="n">
        <v>1120</v>
      </c>
    </row>
    <row r="31">
      <c r="A31" s="4" t="inlineStr">
        <is>
          <t>CBAM影子</t>
        </is>
      </c>
      <c r="B31" s="4" t="inlineStr">
        <is>
          <t>钢材总嵌入排放</t>
        </is>
      </c>
      <c r="C31" s="4" t="inlineStr">
        <is>
          <t>钢材直接 + 间接</t>
        </is>
      </c>
      <c r="D31" s="11" t="n">
        <v>81</v>
      </c>
    </row>
    <row r="32">
      <c r="A32" s="4" t="inlineStr">
        <is>
          <t>CBAM影子</t>
        </is>
      </c>
      <c r="B32" s="4" t="inlineStr">
        <is>
          <t>覆盖材料总嵌入排放</t>
        </is>
      </c>
      <c r="C32" s="4" t="inlineStr">
        <is>
          <t>铝材 + 钢材</t>
        </is>
      </c>
      <c r="D32" s="11" t="n">
        <v>1201</v>
      </c>
    </row>
    <row r="33">
      <c r="A33" s="4" t="inlineStr">
        <is>
          <t>CBAM影子</t>
        </is>
      </c>
      <c r="B33" s="4" t="inlineStr">
        <is>
          <t>覆盖材料占整包总排放比重</t>
        </is>
      </c>
      <c r="C33" s="4" t="inlineStr">
        <is>
          <t>覆盖材料总嵌入排放 / 整包总碳足迹</t>
        </is>
      </c>
      <c r="D33" s="11" t="n">
        <v>0.3406167028723148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D33"/>
  <mergeCells count="1">
    <mergeCell ref="A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8" customWidth="1" min="4" max="4"/>
  </cols>
  <sheetData>
    <row r="1">
      <c r="A1" s="1" t="inlineStr">
        <is>
          <t>09_EU中间表</t>
        </is>
      </c>
    </row>
    <row r="3">
      <c r="A3" s="3" t="inlineStr">
        <is>
          <t>分组</t>
        </is>
      </c>
      <c r="B3" s="3" t="inlineStr">
        <is>
          <t>目标字段</t>
        </is>
      </c>
      <c r="C3" s="3" t="inlineStr">
        <is>
          <t>单位</t>
        </is>
      </c>
      <c r="D3" s="3" t="inlineStr">
        <is>
          <t>当前结果预览</t>
        </is>
      </c>
    </row>
    <row r="4">
      <c r="A4" s="4" t="inlineStr">
        <is>
          <t>基本信息</t>
        </is>
      </c>
      <c r="B4" s="4" t="inlineStr">
        <is>
          <t>制造商名称</t>
        </is>
      </c>
      <c r="C4" s="4" t="inlineStr">
        <is>
          <t>文本</t>
        </is>
      </c>
      <c r="D4" s="10" t="inlineStr">
        <is>
          <t>CATL</t>
        </is>
      </c>
    </row>
    <row r="5">
      <c r="A5" s="4" t="inlineStr">
        <is>
          <t>基本信息</t>
        </is>
      </c>
      <c r="B5" s="4" t="inlineStr">
        <is>
          <t>演示产品名称</t>
        </is>
      </c>
      <c r="C5" s="4" t="inlineStr">
        <is>
          <t>文本</t>
        </is>
      </c>
      <c r="D5" s="10" t="inlineStr">
        <is>
          <t>神行 PLUS CTP 动力电池包（Demo）</t>
        </is>
      </c>
    </row>
    <row r="6">
      <c r="A6" s="4" t="inlineStr">
        <is>
          <t>基本信息</t>
        </is>
      </c>
      <c r="B6" s="4" t="inlineStr">
        <is>
          <t>电池型号</t>
        </is>
      </c>
      <c r="C6" s="4" t="inlineStr">
        <is>
          <t>文本</t>
        </is>
      </c>
      <c r="D6" s="10" t="inlineStr">
        <is>
          <t>SXP-CTP-PACK-DEMO-01</t>
        </is>
      </c>
    </row>
    <row r="7">
      <c r="A7" s="4" t="inlineStr">
        <is>
          <t>基本信息</t>
        </is>
      </c>
      <c r="B7" s="4" t="inlineStr">
        <is>
          <t>产品类别</t>
        </is>
      </c>
      <c r="C7" s="4" t="inlineStr">
        <is>
          <t>文本</t>
        </is>
      </c>
      <c r="D7" s="10" t="inlineStr">
        <is>
          <t>EV battery</t>
        </is>
      </c>
    </row>
    <row r="8">
      <c r="A8" s="4" t="inlineStr">
        <is>
          <t>基本信息</t>
        </is>
      </c>
      <c r="B8" s="4" t="inlineStr">
        <is>
          <t>化学体系</t>
        </is>
      </c>
      <c r="C8" s="4" t="inlineStr">
        <is>
          <t>文本</t>
        </is>
      </c>
      <c r="D8" s="10" t="inlineStr">
        <is>
          <t>LFP（磷酸铁锂）</t>
        </is>
      </c>
    </row>
    <row r="9">
      <c r="A9" s="4" t="inlineStr">
        <is>
          <t>基本信息</t>
        </is>
      </c>
      <c r="B9" s="4" t="inlineStr">
        <is>
          <t>制造工厂代码</t>
        </is>
      </c>
      <c r="C9" s="4" t="inlineStr">
        <is>
          <t>文本</t>
        </is>
      </c>
      <c r="D9" s="10" t="inlineStr">
        <is>
          <t>CN-JS-PLANT-DEMO-01</t>
        </is>
      </c>
    </row>
    <row r="10">
      <c r="A10" s="4" t="inlineStr">
        <is>
          <t>基本信息</t>
        </is>
      </c>
      <c r="B10" s="4" t="inlineStr">
        <is>
          <t>制造工厂名称</t>
        </is>
      </c>
      <c r="C10" s="4" t="inlineStr">
        <is>
          <t>文本</t>
        </is>
      </c>
      <c r="D10" s="10" t="inlineStr">
        <is>
          <t>江苏时代（Demo）</t>
        </is>
      </c>
    </row>
    <row r="11">
      <c r="A11" s="4" t="inlineStr">
        <is>
          <t>基本信息</t>
        </is>
      </c>
      <c r="B11" s="4" t="inlineStr">
        <is>
          <t>报告期</t>
        </is>
      </c>
      <c r="C11" s="4" t="inlineStr">
        <is>
          <t>文本</t>
        </is>
      </c>
      <c r="D11" s="10" t="inlineStr">
        <is>
          <t>2025Q4</t>
        </is>
      </c>
    </row>
    <row r="12">
      <c r="A12" s="4" t="inlineStr">
        <is>
          <t>产品参数</t>
        </is>
      </c>
      <c r="B12" s="4" t="inlineStr">
        <is>
          <t>额定容量(kWh)</t>
        </is>
      </c>
      <c r="C12" s="4" t="inlineStr">
        <is>
          <t>kWh</t>
        </is>
      </c>
      <c r="D12" s="11" t="n">
        <v>72</v>
      </c>
    </row>
    <row r="13">
      <c r="A13" s="4" t="inlineStr">
        <is>
          <t>产品参数</t>
        </is>
      </c>
      <c r="B13" s="4" t="inlineStr">
        <is>
          <t>标称电压(V)</t>
        </is>
      </c>
      <c r="C13" s="4" t="inlineStr">
        <is>
          <t>V</t>
        </is>
      </c>
      <c r="D13" s="11" t="n">
        <v>800</v>
      </c>
    </row>
    <row r="14">
      <c r="A14" s="4" t="inlineStr">
        <is>
          <t>产品参数</t>
        </is>
      </c>
      <c r="B14" s="4" t="inlineStr">
        <is>
          <t>循环寿命(cycles)</t>
        </is>
      </c>
      <c r="C14" s="4" t="inlineStr">
        <is>
          <t>cycles</t>
        </is>
      </c>
      <c r="D14" s="11" t="n">
        <v>4000</v>
      </c>
    </row>
    <row r="15">
      <c r="A15" s="4" t="inlineStr">
        <is>
          <t>碳足迹</t>
        </is>
      </c>
      <c r="B15" s="4" t="inlineStr">
        <is>
          <t>声明总碳足迹(kgCO2e/pack)</t>
        </is>
      </c>
      <c r="C15" s="4" t="inlineStr">
        <is>
          <t>kgCO2e/pack</t>
        </is>
      </c>
      <c r="D15" s="11" t="n">
        <v>3525.957446808511</v>
      </c>
    </row>
    <row r="16">
      <c r="A16" s="4" t="inlineStr">
        <is>
          <t>碳足迹</t>
        </is>
      </c>
      <c r="B16" s="4" t="inlineStr">
        <is>
          <t>声明总碳足迹(kgCO2e/kWh)</t>
        </is>
      </c>
      <c r="C16" s="4" t="inlineStr">
        <is>
          <t>kgCO2e/kWh</t>
        </is>
      </c>
      <c r="D16" s="11" t="n">
        <v>48.97163120567376</v>
      </c>
    </row>
    <row r="17">
      <c r="A17" s="4" t="inlineStr">
        <is>
          <t>碳足迹</t>
        </is>
      </c>
      <c r="B17" s="4" t="inlineStr">
        <is>
          <t>原材料阶段(kgCO2e/kWh)</t>
        </is>
      </c>
      <c r="C17" s="4" t="inlineStr">
        <is>
          <t>kgCO2e/kWh</t>
        </is>
      </c>
      <c r="D17" s="11" t="n">
        <v>44.23611111111111</v>
      </c>
    </row>
    <row r="18">
      <c r="A18" s="4" t="inlineStr">
        <is>
          <t>碳足迹</t>
        </is>
      </c>
      <c r="B18" s="4" t="inlineStr">
        <is>
          <t>制造阶段(kgCO2e/kWh)</t>
        </is>
      </c>
      <c r="C18" s="4" t="inlineStr">
        <is>
          <t>kgCO2e/kWh</t>
        </is>
      </c>
      <c r="D18" s="11" t="n">
        <v>4.360520094562649</v>
      </c>
    </row>
    <row r="19">
      <c r="A19" s="4" t="inlineStr">
        <is>
          <t>碳足迹</t>
        </is>
      </c>
      <c r="B19" s="4" t="inlineStr">
        <is>
          <t>运输阶段(kgCO2e/kWh)</t>
        </is>
      </c>
      <c r="C19" s="4" t="inlineStr">
        <is>
          <t>kgCO2e/kWh</t>
        </is>
      </c>
      <c r="D19" s="11" t="n">
        <v>0.5833333333333334</v>
      </c>
    </row>
    <row r="20">
      <c r="A20" s="4" t="inlineStr">
        <is>
          <t>碳足迹</t>
        </is>
      </c>
      <c r="B20" s="4" t="inlineStr">
        <is>
          <t>终端回收阶段(kgCO2e/kWh)</t>
        </is>
      </c>
      <c r="C20" s="4" t="inlineStr">
        <is>
          <t>kgCO2e/kWh</t>
        </is>
      </c>
      <c r="D20" s="11" t="n">
        <v>-0.2083333333333333</v>
      </c>
    </row>
    <row r="21">
      <c r="A21" s="4" t="inlineStr">
        <is>
          <t>再生材料</t>
        </is>
      </c>
      <c r="B21" s="4" t="inlineStr">
        <is>
          <t>再生锂占比</t>
        </is>
      </c>
      <c r="C21" s="4" t="inlineStr">
        <is>
          <t>%</t>
        </is>
      </c>
      <c r="D21" s="12" t="n">
        <v>0.08</v>
      </c>
    </row>
    <row r="22">
      <c r="A22" s="4" t="inlineStr">
        <is>
          <t>再生材料</t>
        </is>
      </c>
      <c r="B22" s="4" t="inlineStr">
        <is>
          <t>再生钴占比</t>
        </is>
      </c>
      <c r="C22" s="4" t="inlineStr">
        <is>
          <t>%</t>
        </is>
      </c>
      <c r="D22" s="12" t="n">
        <v>0</v>
      </c>
    </row>
    <row r="23">
      <c r="A23" s="4" t="inlineStr">
        <is>
          <t>再生材料</t>
        </is>
      </c>
      <c r="B23" s="4" t="inlineStr">
        <is>
          <t>再生镍占比</t>
        </is>
      </c>
      <c r="C23" s="4" t="inlineStr">
        <is>
          <t>%</t>
        </is>
      </c>
      <c r="D23" s="12" t="n">
        <v>0</v>
      </c>
    </row>
    <row r="24">
      <c r="A24" s="4" t="inlineStr">
        <is>
          <t>再生材料</t>
        </is>
      </c>
      <c r="B24" s="4" t="inlineStr">
        <is>
          <t>再生铅占比</t>
        </is>
      </c>
      <c r="C24" s="4" t="inlineStr">
        <is>
          <t>%</t>
        </is>
      </c>
      <c r="D24" s="12" t="n">
        <v>0</v>
      </c>
    </row>
    <row r="25">
      <c r="A25" s="4" t="inlineStr">
        <is>
          <t>尽调与追溯</t>
        </is>
      </c>
      <c r="B25" s="4" t="inlineStr">
        <is>
          <t>尽调政策链接</t>
        </is>
      </c>
      <c r="C25" s="4" t="inlineStr">
        <is>
          <t>文本</t>
        </is>
      </c>
      <c r="D25" s="10" t="inlineStr">
        <is>
          <t>https://www.catl.com/</t>
        </is>
      </c>
    </row>
    <row r="26">
      <c r="A26" s="4" t="inlineStr">
        <is>
          <t>尽调与追溯</t>
        </is>
      </c>
      <c r="B26" s="4" t="inlineStr">
        <is>
          <t>关键原材料追溯范围</t>
        </is>
      </c>
      <c r="C26" s="4" t="inlineStr">
        <is>
          <t>文本</t>
        </is>
      </c>
      <c r="D26" s="10" t="inlineStr">
        <is>
          <t>lithium / graphite / aluminium / copper / steel</t>
        </is>
      </c>
    </row>
    <row r="27">
      <c r="A27" s="4" t="inlineStr">
        <is>
          <t>尽调与追溯</t>
        </is>
      </c>
      <c r="B27" s="4" t="inlineStr">
        <is>
          <t>供应链追溯覆盖率</t>
        </is>
      </c>
      <c r="C27" s="4" t="inlineStr">
        <is>
          <t>%</t>
        </is>
      </c>
      <c r="D27" s="12" t="n">
        <v>0.92</v>
      </c>
    </row>
    <row r="28">
      <c r="A28" s="4" t="inlineStr">
        <is>
          <t>文件与护照</t>
        </is>
      </c>
      <c r="B28" s="4" t="inlineStr">
        <is>
          <t>产品碳足迹研究底稿状态</t>
        </is>
      </c>
      <c r="C28" s="4" t="inlineStr">
        <is>
          <t>文本</t>
        </is>
      </c>
      <c r="D28" s="10" t="inlineStr">
        <is>
          <t>齐备</t>
        </is>
      </c>
    </row>
    <row r="29">
      <c r="A29" s="4" t="inlineStr">
        <is>
          <t>文件与护照</t>
        </is>
      </c>
      <c r="B29" s="4" t="inlineStr">
        <is>
          <t>测试报告状态</t>
        </is>
      </c>
      <c r="C29" s="4" t="inlineStr">
        <is>
          <t>文本</t>
        </is>
      </c>
      <c r="D29" s="10" t="inlineStr">
        <is>
          <t>齐备</t>
        </is>
      </c>
    </row>
    <row r="30">
      <c r="A30" s="4" t="inlineStr">
        <is>
          <t>文件与护照</t>
        </is>
      </c>
      <c r="B30" s="4" t="inlineStr">
        <is>
          <t>技术文档状态</t>
        </is>
      </c>
      <c r="C30" s="4" t="inlineStr">
        <is>
          <t>文本</t>
        </is>
      </c>
      <c r="D30" s="10" t="inlineStr">
        <is>
          <t>齐备</t>
        </is>
      </c>
    </row>
    <row r="31">
      <c r="A31" s="4" t="inlineStr">
        <is>
          <t>文件与护照</t>
        </is>
      </c>
      <c r="B31" s="4" t="inlineStr">
        <is>
          <t>护照对象 ID</t>
        </is>
      </c>
      <c r="C31" s="4" t="inlineStr">
        <is>
          <t>文本</t>
        </is>
      </c>
      <c r="D31" s="10" t="inlineStr">
        <is>
          <t>passport-demo-001</t>
        </is>
      </c>
    </row>
    <row r="32">
      <c r="A32" s="4" t="inlineStr">
        <is>
          <t>文件与护照</t>
        </is>
      </c>
      <c r="B32" s="4" t="inlineStr">
        <is>
          <t>个体电池编码前缀</t>
        </is>
      </c>
      <c r="C32" s="4" t="inlineStr">
        <is>
          <t>文本</t>
        </is>
      </c>
      <c r="D32" s="10" t="inlineStr">
        <is>
          <t>SXP25Q4</t>
        </is>
      </c>
    </row>
    <row r="33">
      <c r="A33" s="4" t="inlineStr">
        <is>
          <t>综合状态</t>
        </is>
      </c>
      <c r="B33" s="4" t="inlineStr">
        <is>
          <t>EU 输出完备度</t>
        </is>
      </c>
      <c r="C33" s="4" t="inlineStr">
        <is>
          <t>%</t>
        </is>
      </c>
      <c r="D33" s="12" t="n">
        <v>1</v>
      </c>
    </row>
    <row r="34">
      <c r="A34" s="4" t="inlineStr">
        <is>
          <t>综合状态</t>
        </is>
      </c>
      <c r="B34" s="4" t="inlineStr">
        <is>
          <t>EU 输出结论</t>
        </is>
      </c>
      <c r="C34" s="4" t="inlineStr">
        <is>
          <t>文本</t>
        </is>
      </c>
      <c r="D34" s="10" t="inlineStr">
        <is>
          <t>可直接讲给评委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D34"/>
  <mergeCells count="1">
    <mergeCell ref="A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8" customWidth="1" min="4" max="4"/>
  </cols>
  <sheetData>
    <row r="1">
      <c r="A1" s="1" t="inlineStr">
        <is>
          <t>10_CBAM中间表</t>
        </is>
      </c>
    </row>
    <row r="3">
      <c r="A3" s="3" t="inlineStr">
        <is>
          <t>分组</t>
        </is>
      </c>
      <c r="B3" s="3" t="inlineStr">
        <is>
          <t>目标字段</t>
        </is>
      </c>
      <c r="C3" s="3" t="inlineStr">
        <is>
          <t>单位</t>
        </is>
      </c>
      <c r="D3" s="3" t="inlineStr">
        <is>
          <t>当前结果预览</t>
        </is>
      </c>
    </row>
    <row r="4">
      <c r="A4" s="4" t="inlineStr">
        <is>
          <t>基础锚点</t>
        </is>
      </c>
      <c r="B4" s="4" t="inlineStr">
        <is>
          <t>电池型号</t>
        </is>
      </c>
      <c r="C4" s="4" t="inlineStr">
        <is>
          <t>文本</t>
        </is>
      </c>
      <c r="D4" s="10" t="inlineStr">
        <is>
          <t>SXP-CTP-PACK-DEMO-01</t>
        </is>
      </c>
    </row>
    <row r="5">
      <c r="A5" s="4" t="inlineStr">
        <is>
          <t>基础锚点</t>
        </is>
      </c>
      <c r="B5" s="4" t="inlineStr">
        <is>
          <t>产品报告期</t>
        </is>
      </c>
      <c r="C5" s="4" t="inlineStr">
        <is>
          <t>文本</t>
        </is>
      </c>
      <c r="D5" s="10" t="inlineStr">
        <is>
          <t>2025Q4</t>
        </is>
      </c>
    </row>
    <row r="6">
      <c r="A6" s="4" t="inlineStr">
        <is>
          <t>基础锚点</t>
        </is>
      </c>
      <c r="B6" s="4" t="inlineStr">
        <is>
          <t>上游材料报告期</t>
        </is>
      </c>
      <c r="C6" s="4" t="inlineStr">
        <is>
          <t>文本</t>
        </is>
      </c>
      <c r="D6" s="10" t="inlineStr">
        <is>
          <t>2025Q4</t>
        </is>
      </c>
    </row>
    <row r="7">
      <c r="A7" s="4" t="inlineStr">
        <is>
          <t>铝材模块</t>
        </is>
      </c>
      <c r="B7" s="4" t="inlineStr">
        <is>
          <t>铝材供应商安装点 ID</t>
        </is>
      </c>
      <c r="C7" s="4" t="inlineStr">
        <is>
          <t>文本</t>
        </is>
      </c>
      <c r="D7" s="10" t="inlineStr">
        <is>
          <t>AL-SUP-001</t>
        </is>
      </c>
    </row>
    <row r="8">
      <c r="A8" s="4" t="inlineStr">
        <is>
          <t>铝材模块</t>
        </is>
      </c>
      <c r="B8" s="4" t="inlineStr">
        <is>
          <t>铝材质量(kg)</t>
        </is>
      </c>
      <c r="C8" s="4" t="inlineStr">
        <is>
          <t>kg</t>
        </is>
      </c>
      <c r="D8" s="11" t="n">
        <v>80</v>
      </c>
    </row>
    <row r="9">
      <c r="A9" s="4" t="inlineStr">
        <is>
          <t>铝材模块</t>
        </is>
      </c>
      <c r="B9" s="4" t="inlineStr">
        <is>
          <t>铝材直接排放因子(kgCO2e/kg)</t>
        </is>
      </c>
      <c r="C9" s="4" t="inlineStr">
        <is>
          <t>kgCO2e/kg</t>
        </is>
      </c>
      <c r="D9" s="11" t="n">
        <v>9</v>
      </c>
    </row>
    <row r="10">
      <c r="A10" s="4" t="inlineStr">
        <is>
          <t>铝材模块</t>
        </is>
      </c>
      <c r="B10" s="4" t="inlineStr">
        <is>
          <t>铝材间接排放因子(kgCO2e/kg)</t>
        </is>
      </c>
      <c r="C10" s="4" t="inlineStr">
        <is>
          <t>kgCO2e/kg</t>
        </is>
      </c>
      <c r="D10" s="11" t="n">
        <v>5</v>
      </c>
    </row>
    <row r="11">
      <c r="A11" s="4" t="inlineStr">
        <is>
          <t>铝材模块</t>
        </is>
      </c>
      <c r="B11" s="4" t="inlineStr">
        <is>
          <t>铝材总嵌入排放(kgCO2e/pack)</t>
        </is>
      </c>
      <c r="C11" s="4" t="inlineStr">
        <is>
          <t>kgCO2e/pack</t>
        </is>
      </c>
      <c r="D11" s="11" t="n">
        <v>1120</v>
      </c>
    </row>
    <row r="12">
      <c r="A12" s="4" t="inlineStr">
        <is>
          <t>铝材模块</t>
        </is>
      </c>
      <c r="B12" s="4" t="inlineStr">
        <is>
          <t>铝材核验状态</t>
        </is>
      </c>
      <c r="C12" s="4" t="inlineStr">
        <is>
          <t>文本</t>
        </is>
      </c>
      <c r="D12" s="10" t="inlineStr">
        <is>
          <t>已核验</t>
        </is>
      </c>
    </row>
    <row r="13">
      <c r="A13" s="4" t="inlineStr">
        <is>
          <t>钢材模块</t>
        </is>
      </c>
      <c r="B13" s="4" t="inlineStr">
        <is>
          <t>钢材供应商安装点 ID</t>
        </is>
      </c>
      <c r="C13" s="4" t="inlineStr">
        <is>
          <t>文本</t>
        </is>
      </c>
      <c r="D13" s="10" t="inlineStr">
        <is>
          <t>ST-SUP-001</t>
        </is>
      </c>
    </row>
    <row r="14">
      <c r="A14" s="4" t="inlineStr">
        <is>
          <t>钢材模块</t>
        </is>
      </c>
      <c r="B14" s="4" t="inlineStr">
        <is>
          <t>钢材质量(kg)</t>
        </is>
      </c>
      <c r="C14" s="4" t="inlineStr">
        <is>
          <t>kg</t>
        </is>
      </c>
      <c r="D14" s="11" t="n">
        <v>30</v>
      </c>
    </row>
    <row r="15">
      <c r="A15" s="4" t="inlineStr">
        <is>
          <t>钢材模块</t>
        </is>
      </c>
      <c r="B15" s="4" t="inlineStr">
        <is>
          <t>钢材直接排放因子(kgCO2e/kg)</t>
        </is>
      </c>
      <c r="C15" s="4" t="inlineStr">
        <is>
          <t>kgCO2e/kg</t>
        </is>
      </c>
      <c r="D15" s="11" t="n">
        <v>2</v>
      </c>
    </row>
    <row r="16">
      <c r="A16" s="4" t="inlineStr">
        <is>
          <t>钢材模块</t>
        </is>
      </c>
      <c r="B16" s="4" t="inlineStr">
        <is>
          <t>钢材间接排放因子(kgCO2e/kg)</t>
        </is>
      </c>
      <c r="C16" s="4" t="inlineStr">
        <is>
          <t>kgCO2e/kg</t>
        </is>
      </c>
      <c r="D16" s="11" t="n">
        <v>0.7</v>
      </c>
    </row>
    <row r="17">
      <c r="A17" s="4" t="inlineStr">
        <is>
          <t>钢材模块</t>
        </is>
      </c>
      <c r="B17" s="4" t="inlineStr">
        <is>
          <t>钢材总嵌入排放(kgCO2e/pack)</t>
        </is>
      </c>
      <c r="C17" s="4" t="inlineStr">
        <is>
          <t>kgCO2e/pack</t>
        </is>
      </c>
      <c r="D17" s="11" t="n">
        <v>81</v>
      </c>
    </row>
    <row r="18">
      <c r="A18" s="4" t="inlineStr">
        <is>
          <t>钢材模块</t>
        </is>
      </c>
      <c r="B18" s="4" t="inlineStr">
        <is>
          <t>钢材核验状态</t>
        </is>
      </c>
      <c r="C18" s="4" t="inlineStr">
        <is>
          <t>文本</t>
        </is>
      </c>
      <c r="D18" s="10" t="inlineStr">
        <is>
          <t>已核验</t>
        </is>
      </c>
    </row>
    <row r="19">
      <c r="A19" s="4" t="inlineStr">
        <is>
          <t>汇总</t>
        </is>
      </c>
      <c r="B19" s="4" t="inlineStr">
        <is>
          <t>覆盖材料总嵌入排放(kgCO2e/pack)</t>
        </is>
      </c>
      <c r="C19" s="4" t="inlineStr">
        <is>
          <t>kgCO2e/pack</t>
        </is>
      </c>
      <c r="D19" s="11" t="n">
        <v>1201</v>
      </c>
    </row>
    <row r="20">
      <c r="A20" s="4" t="inlineStr">
        <is>
          <t>汇总</t>
        </is>
      </c>
      <c r="B20" s="4" t="inlineStr">
        <is>
          <t>覆盖材料占整包总排放比重</t>
        </is>
      </c>
      <c r="C20" s="4" t="inlineStr">
        <is>
          <t>%</t>
        </is>
      </c>
      <c r="D20" s="12" t="n">
        <v>0.3406167028723148</v>
      </c>
    </row>
    <row r="21">
      <c r="A21" s="4" t="inlineStr">
        <is>
          <t>汇总</t>
        </is>
      </c>
      <c r="B21" s="4" t="inlineStr">
        <is>
          <t>供应商 PCF 覆盖率</t>
        </is>
      </c>
      <c r="C21" s="4" t="inlineStr">
        <is>
          <t>%</t>
        </is>
      </c>
      <c r="D21" s="12" t="n">
        <v>0.76</v>
      </c>
    </row>
    <row r="22">
      <c r="A22" s="4" t="inlineStr">
        <is>
          <t>综合状态</t>
        </is>
      </c>
      <c r="B22" s="4" t="inlineStr">
        <is>
          <t>CBAM 兼容输出完备度</t>
        </is>
      </c>
      <c r="C22" s="4" t="inlineStr">
        <is>
          <t>%</t>
        </is>
      </c>
      <c r="D22" s="12" t="n">
        <v>1</v>
      </c>
    </row>
    <row r="23">
      <c r="A23" s="4" t="inlineStr">
        <is>
          <t>综合状态</t>
        </is>
      </c>
      <c r="B23" s="4" t="inlineStr">
        <is>
          <t>CBAM 兼容输出结论</t>
        </is>
      </c>
      <c r="C23" s="4" t="inlineStr">
        <is>
          <t>文本</t>
        </is>
      </c>
      <c r="D23" s="10" t="inlineStr">
        <is>
          <t>可作为上游碳数据兼容模块展示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D23"/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2026-04-06T17:03:41Z</dcterms:created>
  <dcterms:modified xmlns:dcterms="http://purl.org/dc/terms/" xmlns:xsi="http://www.w3.org/2001/XMLSchema-instance" xsi:type="dcterms:W3CDTF">2026-04-06T17:03:41Z</dcterms:modified>
</cp:coreProperties>
</file>